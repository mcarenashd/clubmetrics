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luisa/Documents/Valor Empresarial/Propuestas/Propuestas 2026/Proyecto Indicadores Clubes/"/>
    </mc:Choice>
  </mc:AlternateContent>
  <xr:revisionPtr revIDLastSave="0" documentId="13_ncr:1_{B429ACAD-F8F2-6B4D-855C-5E89A5CC54D7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Indicadores Adicionales" sheetId="8" r:id="rId1"/>
    <sheet name="Dashboard_KPIs" sheetId="1" r:id="rId2"/>
    <sheet name="CAP0_Identidad_Censo" sheetId="2" r:id="rId3"/>
    <sheet name="CAP1_Financiero_CAPEX" sheetId="3" r:id="rId4"/>
    <sheet name="CAP2_Nomina" sheetId="4" r:id="rId5"/>
    <sheet name="CAP3_Infraestructura_Uso" sheetId="5" r:id="rId6"/>
    <sheet name="CAP4_Tarifas_Cartera" sheetId="6" r:id="rId7"/>
    <sheet name="Información salarios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2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2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B38" i="1"/>
  <c r="B37" i="1"/>
  <c r="B36" i="1"/>
  <c r="B32" i="1"/>
  <c r="B31" i="1"/>
  <c r="B30" i="1"/>
  <c r="B29" i="1"/>
  <c r="B25" i="1"/>
  <c r="B24" i="1"/>
  <c r="B23" i="1"/>
  <c r="B22" i="1"/>
  <c r="B21" i="1"/>
  <c r="B17" i="1"/>
  <c r="B16" i="1"/>
  <c r="B15" i="1"/>
  <c r="B14" i="1"/>
  <c r="B13" i="1"/>
  <c r="B12" i="1"/>
  <c r="B8" i="1"/>
  <c r="B7" i="1"/>
  <c r="B6" i="1"/>
  <c r="B5" i="1"/>
</calcChain>
</file>

<file path=xl/sharedStrings.xml><?xml version="1.0" encoding="utf-8"?>
<sst xmlns="http://schemas.openxmlformats.org/spreadsheetml/2006/main" count="667" uniqueCount="448">
  <si>
    <t>DASHBOARD DE KPIs - ANÁLISIS INTEGRAL DEL CLUB</t>
  </si>
  <si>
    <t>📊 IDENTIDAD Y DIMENSIÓN DEL CLUB</t>
  </si>
  <si>
    <t>Indicador</t>
  </si>
  <si>
    <t>Valor</t>
  </si>
  <si>
    <t>Unidad</t>
  </si>
  <si>
    <t>Fuente</t>
  </si>
  <si>
    <t>Tipo de Club</t>
  </si>
  <si>
    <t>CAP0</t>
  </si>
  <si>
    <t>Área Total Terreno</t>
  </si>
  <si>
    <t>m²</t>
  </si>
  <si>
    <t>Socios Titulares</t>
  </si>
  <si>
    <t>Cant.</t>
  </si>
  <si>
    <t>Comunidad Total</t>
  </si>
  <si>
    <t>Vidas</t>
  </si>
  <si>
    <t>💰 INDICADORES FINANCIEROS</t>
  </si>
  <si>
    <t>KPI Financiero</t>
  </si>
  <si>
    <t>Valor Calculado</t>
  </si>
  <si>
    <t>Fórmula</t>
  </si>
  <si>
    <t>Ingreso por Socio/Mes</t>
  </si>
  <si>
    <t>$/Socio</t>
  </si>
  <si>
    <t>F-01÷12÷C-01</t>
  </si>
  <si>
    <t>EBITDA por Socio/Año</t>
  </si>
  <si>
    <t>F-04÷C-01</t>
  </si>
  <si>
    <t>Margen EBITDA</t>
  </si>
  <si>
    <t>%</t>
  </si>
  <si>
    <t>F-04÷F-01</t>
  </si>
  <si>
    <t>Gasto Servicios/m²</t>
  </si>
  <si>
    <t>$/m²</t>
  </si>
  <si>
    <t>G-01÷D-02</t>
  </si>
  <si>
    <t>Cuota vs Ingreso Total</t>
  </si>
  <si>
    <t>F-02÷F-01</t>
  </si>
  <si>
    <t>A&amp;B vs Ingreso Total</t>
  </si>
  <si>
    <t>F-03÷F-01</t>
  </si>
  <si>
    <t>👥 PRODUCTIVIDAD DE NÓMINA</t>
  </si>
  <si>
    <t>KPI Nómina</t>
  </si>
  <si>
    <t>Nómina Total Mensual</t>
  </si>
  <si>
    <t>$ Miles</t>
  </si>
  <si>
    <t>Suma N-01:N-04</t>
  </si>
  <si>
    <t>Nómina por Socio/Mes</t>
  </si>
  <si>
    <t>Total÷C-01</t>
  </si>
  <si>
    <t>Ingreso por $ Nómina</t>
  </si>
  <si>
    <t>Ratio</t>
  </si>
  <si>
    <t>F-01÷Nómina÷12</t>
  </si>
  <si>
    <t>% Nómina Operativa A&amp;B</t>
  </si>
  <si>
    <t>N-02÷Total</t>
  </si>
  <si>
    <t>% Nómina Deportiva</t>
  </si>
  <si>
    <t>N-03÷Total</t>
  </si>
  <si>
    <t>⛳ EFICIENCIA DE INFRAESTRUCTURA</t>
  </si>
  <si>
    <t>KPI Infraestructura</t>
  </si>
  <si>
    <t>Socios por Cancha</t>
  </si>
  <si>
    <t>Socios/Cancha</t>
  </si>
  <si>
    <t>C-01÷S-03</t>
  </si>
  <si>
    <t>Rounds Mensuales Golf</t>
  </si>
  <si>
    <t>Rounds</t>
  </si>
  <si>
    <t>S-02</t>
  </si>
  <si>
    <t>Ingresos Gym/Mes</t>
  </si>
  <si>
    <t>Ingresos</t>
  </si>
  <si>
    <t>S-05</t>
  </si>
  <si>
    <t>Venta por Silla A&amp;B/Mes</t>
  </si>
  <si>
    <t>$/Silla</t>
  </si>
  <si>
    <t>F-03÷12÷S-06</t>
  </si>
  <si>
    <t>💳 TARIFAS Y GESTIÓN DE CARTERA</t>
  </si>
  <si>
    <t>Indicador Comercial</t>
  </si>
  <si>
    <t>Cuota Sostenimiento</t>
  </si>
  <si>
    <t>$ Pesos</t>
  </si>
  <si>
    <t>T-01</t>
  </si>
  <si>
    <t>Valor Acción/Título</t>
  </si>
  <si>
    <t>T-02</t>
  </si>
  <si>
    <t>Días de Cartera (DSO)</t>
  </si>
  <si>
    <t>Días</t>
  </si>
  <si>
    <t>K-01</t>
  </si>
  <si>
    <t>⚠️ INSTRUCCIONES: Completar las hojas CAP0 a CAP4 para ver los KPIs calculados automáticamente.</t>
  </si>
  <si>
    <t>CAPÍTULO 0: IDENTIDAD, CENSO Y DIMENSIÓN</t>
  </si>
  <si>
    <t>(Los Denominadores - Variables de Normalización)</t>
  </si>
  <si>
    <t>Código</t>
  </si>
  <si>
    <t>Categoría</t>
  </si>
  <si>
    <t>Variable</t>
  </si>
  <si>
    <t>Valor a Capturar</t>
  </si>
  <si>
    <t>D-01</t>
  </si>
  <si>
    <t>Perfil</t>
  </si>
  <si>
    <t>(1=Ciudad, 2=Campestre, 3=Mixto)</t>
  </si>
  <si>
    <t>D-02</t>
  </si>
  <si>
    <t>Dimensión</t>
  </si>
  <si>
    <t>Área Total del Terreno</t>
  </si>
  <si>
    <t>D-03</t>
  </si>
  <si>
    <t>Área Total Construida</t>
  </si>
  <si>
    <t>D-04</t>
  </si>
  <si>
    <t>Cantidad de Sedes / Casas Club</t>
  </si>
  <si>
    <t>C-01</t>
  </si>
  <si>
    <t>Censo</t>
  </si>
  <si>
    <t>Socios Titulares (Activos)</t>
  </si>
  <si>
    <t>C-02</t>
  </si>
  <si>
    <t>C-03</t>
  </si>
  <si>
    <t>Promedio Ingresos Mensuales</t>
  </si>
  <si>
    <t>DEFINICIONES Y NOTAS</t>
  </si>
  <si>
    <t>D-01: 1=Club Ciudad, 2=Club Campestre, 3=Club Mixto</t>
  </si>
  <si>
    <t>D-02: Superficie total de la propiedad</t>
  </si>
  <si>
    <t>D-03: Suma de áreas techadas (Sedes, depósitos, etc)</t>
  </si>
  <si>
    <t>D-04: Sedes físicas independientes</t>
  </si>
  <si>
    <t>C-01: Acciones/Títulos con derecho a uso y pago</t>
  </si>
  <si>
    <t>C-02: Titulares + Cónyuges + Hijos + Beneficiarios</t>
  </si>
  <si>
    <t>C-03: Registros de portería/carnetización al mes</t>
  </si>
  <si>
    <t>CAPÍTULO 1: DESEMPEÑO FINANCIERO Y CAPEX</t>
  </si>
  <si>
    <t>(Variables del P&amp;L para medir rentabilidad)</t>
  </si>
  <si>
    <t>F-01</t>
  </si>
  <si>
    <t>Ingresos Totales Operativos</t>
  </si>
  <si>
    <t>F-02</t>
  </si>
  <si>
    <t>Ingresos por Cuotas de Sostenimiento</t>
  </si>
  <si>
    <t>F-03</t>
  </si>
  <si>
    <t>Ingresos por Alimentos y Bebidas</t>
  </si>
  <si>
    <t>F-04</t>
  </si>
  <si>
    <t>Utilidad</t>
  </si>
  <si>
    <t>EBITDA</t>
  </si>
  <si>
    <t>G-01</t>
  </si>
  <si>
    <t>Gasto</t>
  </si>
  <si>
    <t>Gasto Total Servicios Públicos</t>
  </si>
  <si>
    <t>G-02</t>
  </si>
  <si>
    <t>Gasto en Mantenimiento</t>
  </si>
  <si>
    <t>G-03</t>
  </si>
  <si>
    <t>Gasto en Impuesto Predial</t>
  </si>
  <si>
    <t>I-01</t>
  </si>
  <si>
    <t>Inversión</t>
  </si>
  <si>
    <t>Inversión en CapEx (Obras)</t>
  </si>
  <si>
    <t>DEFINICIONES Y NOTAS METODOLÓGICAS</t>
  </si>
  <si>
    <t>F-01: Total facturado por todo concepto</t>
  </si>
  <si>
    <t>F-02: Excluir cuotas extraordinarias</t>
  </si>
  <si>
    <t>F-03: Restaurantes, bares y eventos</t>
  </si>
  <si>
    <t>F-04: Utilidad Operativa + Depreciación</t>
  </si>
  <si>
    <t>G-01: Agua + Luz + Gas + Residuos</t>
  </si>
  <si>
    <t>G-02: Insumos y contratos de reparaciones</t>
  </si>
  <si>
    <t>G-03: Valor pagado en el año</t>
  </si>
  <si>
    <t>I-01: Compras de maquinaria o construcción</t>
  </si>
  <si>
    <t>CAPÍTULO 2: ESTRUCTURA DE NÓMINA</t>
  </si>
  <si>
    <t>(Productividad - Sumar nómina de todos los cargos por bloque)</t>
  </si>
  <si>
    <t>Bloque</t>
  </si>
  <si>
    <t>Variable a Reportar</t>
  </si>
  <si>
    <t>N-01</t>
  </si>
  <si>
    <t>Estratégica/Admin</t>
  </si>
  <si>
    <t>Nómina Estratégica/Admin</t>
  </si>
  <si>
    <t>N-02</t>
  </si>
  <si>
    <t>Operativa A&amp;B</t>
  </si>
  <si>
    <t>Nómina Operativa A&amp;B</t>
  </si>
  <si>
    <t>N-03</t>
  </si>
  <si>
    <t>Deportiva</t>
  </si>
  <si>
    <t>Nómina Deportiva</t>
  </si>
  <si>
    <t>N-04</t>
  </si>
  <si>
    <t>Soporte/Manto</t>
  </si>
  <si>
    <t>Nómina Soporte / Manto.</t>
  </si>
  <si>
    <t>QUÉ INCLUYE CADA BLOQUE</t>
  </si>
  <si>
    <t>N-01: Gerencia, Contabilidad, RRHH, Sistemas</t>
  </si>
  <si>
    <t>N-02: Cocina, Meseros, Stewards, Capitanes</t>
  </si>
  <si>
    <t>N-03: Profesores, Caddies, Directores Deportes</t>
  </si>
  <si>
    <t>N-04: Aseo, Vigilancia, Mantenimiento Campo</t>
  </si>
  <si>
    <t>INSTRUCCIONES</t>
  </si>
  <si>
    <t>Para cada bloque, sumar la nómina mensual promedio de todos los cargos correspondientes de su lista completa de personal (68 cargos tipo).</t>
  </si>
  <si>
    <t>CAPÍTULO 3: INFRAESTRUCTURA, DEPORTES Y USO</t>
  </si>
  <si>
    <t>(Variables para medir eficiencia por unidad de servicio)</t>
  </si>
  <si>
    <t>Deporte / Área</t>
  </si>
  <si>
    <t>S-01</t>
  </si>
  <si>
    <t>Golf</t>
  </si>
  <si>
    <t>Área de Mantenimiento Verde</t>
  </si>
  <si>
    <t>Salidas (Rounds) al Mes</t>
  </si>
  <si>
    <t>S-03</t>
  </si>
  <si>
    <t>Número de Canchas Totales</t>
  </si>
  <si>
    <t>S-04</t>
  </si>
  <si>
    <t>Hípica</t>
  </si>
  <si>
    <t>Fitness</t>
  </si>
  <si>
    <t>S-06</t>
  </si>
  <si>
    <t>A&amp;B</t>
  </si>
  <si>
    <t>Capacidad de Sillas (Restaurantes)</t>
  </si>
  <si>
    <t>OBJETIVO DEL KPI</t>
  </si>
  <si>
    <t>S-01: Costo de mantenimiento por m² de césped</t>
  </si>
  <si>
    <t>S-02: Intensidad de uso del campo</t>
  </si>
  <si>
    <t>S-03: Densidad de socios por cancha</t>
  </si>
  <si>
    <t>S-05: Penetración del servicio en la comunidad</t>
  </si>
  <si>
    <t>S-06: Ventas por silla disponible</t>
  </si>
  <si>
    <t>CAPÍTULO 4: TARIFAS Y CARTERA</t>
  </si>
  <si>
    <t>(Comparativa de Mercado y Cobro)</t>
  </si>
  <si>
    <t>Descripción</t>
  </si>
  <si>
    <t>Cantidad</t>
  </si>
  <si>
    <t>COP</t>
  </si>
  <si>
    <t>Mensual</t>
  </si>
  <si>
    <t>Única</t>
  </si>
  <si>
    <t>T-03</t>
  </si>
  <si>
    <t>Por uso</t>
  </si>
  <si>
    <t>T-04</t>
  </si>
  <si>
    <t>Por hora</t>
  </si>
  <si>
    <t>DSO</t>
  </si>
  <si>
    <t>Promedio</t>
  </si>
  <si>
    <t>DEFINICIONES</t>
  </si>
  <si>
    <t>T-01: Valor mensual base para socio titular</t>
  </si>
  <si>
    <t>T-02: Precio promedio de venta mercado actual</t>
  </si>
  <si>
    <t>T-03: Tarifa invitado fin de semana</t>
  </si>
  <si>
    <t>T-04: Tarifa promedio socio</t>
  </si>
  <si>
    <t>K-01: Promedio de días de cobro a socios</t>
  </si>
  <si>
    <t>Green Fee fin de semana</t>
  </si>
  <si>
    <t>Green Fee semana</t>
  </si>
  <si>
    <t>Tarifa invitado fin de semana</t>
  </si>
  <si>
    <t>Uso de gimnasio</t>
  </si>
  <si>
    <t>Clase Tenis privada</t>
  </si>
  <si>
    <t>Clase Tenis grupo</t>
  </si>
  <si>
    <t>Pesebrera</t>
  </si>
  <si>
    <t>Corte caballero</t>
  </si>
  <si>
    <t>Corte dama</t>
  </si>
  <si>
    <t>Manicure</t>
  </si>
  <si>
    <t>Pedicura</t>
  </si>
  <si>
    <t>T-05</t>
  </si>
  <si>
    <t>T-06</t>
  </si>
  <si>
    <t>T-07</t>
  </si>
  <si>
    <t>T-08</t>
  </si>
  <si>
    <t>T-09</t>
  </si>
  <si>
    <t>T-10</t>
  </si>
  <si>
    <t>T-11</t>
  </si>
  <si>
    <t>T-12</t>
  </si>
  <si>
    <t>Por mes</t>
  </si>
  <si>
    <t xml:space="preserve">Número de Pesebreras </t>
  </si>
  <si>
    <t>S-04: Pesebreras</t>
  </si>
  <si>
    <t>S-07</t>
  </si>
  <si>
    <t>S-08</t>
  </si>
  <si>
    <t>S-09</t>
  </si>
  <si>
    <t>S-10</t>
  </si>
  <si>
    <t>Número de piscinas</t>
  </si>
  <si>
    <t>Futbol</t>
  </si>
  <si>
    <t>Número canchas de futbol</t>
  </si>
  <si>
    <t>Número canchas de microfutbol</t>
  </si>
  <si>
    <t>Squash</t>
  </si>
  <si>
    <t>Número canchas de squash</t>
  </si>
  <si>
    <t>Racket</t>
  </si>
  <si>
    <t>Número de Gimnasio</t>
  </si>
  <si>
    <t>Número cnachas de racket</t>
  </si>
  <si>
    <t>Camping</t>
  </si>
  <si>
    <t>Número áreas de camping</t>
  </si>
  <si>
    <t>Número de salas de videos o cine o musica</t>
  </si>
  <si>
    <t>Ingresos por eventos</t>
  </si>
  <si>
    <t>Ingresos por torneos</t>
  </si>
  <si>
    <t>Ingresos por Actividades Deportivas</t>
  </si>
  <si>
    <t>Valor de inventarios</t>
  </si>
  <si>
    <t>Comunidad Total (Familiares)</t>
  </si>
  <si>
    <t>Ocio</t>
  </si>
  <si>
    <t>Pádel</t>
  </si>
  <si>
    <t>Tenis</t>
  </si>
  <si>
    <t>S-11</t>
  </si>
  <si>
    <t>S-12</t>
  </si>
  <si>
    <t>S-13</t>
  </si>
  <si>
    <t>S-14</t>
  </si>
  <si>
    <t>Ocupación canchas de tenis</t>
  </si>
  <si>
    <t>Ocupación pisicina</t>
  </si>
  <si>
    <t>Cantidad de torneos realizados</t>
  </si>
  <si>
    <t>Natación</t>
  </si>
  <si>
    <t>S-15</t>
  </si>
  <si>
    <t>S-16</t>
  </si>
  <si>
    <t>S-17</t>
  </si>
  <si>
    <t>S-18</t>
  </si>
  <si>
    <t>S-19</t>
  </si>
  <si>
    <t>Número parques de niños</t>
  </si>
  <si>
    <t>Número juegos de jovenes</t>
  </si>
  <si>
    <t>Número guarderías</t>
  </si>
  <si>
    <t>Número almacenes deportivos</t>
  </si>
  <si>
    <t>Número peluquerías</t>
  </si>
  <si>
    <t>Número vestier hombres</t>
  </si>
  <si>
    <t>Número vestier mujeres</t>
  </si>
  <si>
    <t>Número vestier jovenes, niños y niñas</t>
  </si>
  <si>
    <t>Número saunas</t>
  </si>
  <si>
    <t>Número turcos</t>
  </si>
  <si>
    <t>Número posiciones hidromasajes</t>
  </si>
  <si>
    <t>Número enfermerías</t>
  </si>
  <si>
    <t>Número de lagos</t>
  </si>
  <si>
    <t>Zona humeda</t>
  </si>
  <si>
    <t>S-20</t>
  </si>
  <si>
    <t>S-21</t>
  </si>
  <si>
    <t>S-22</t>
  </si>
  <si>
    <t>S-23</t>
  </si>
  <si>
    <t>S-24</t>
  </si>
  <si>
    <t>S-25</t>
  </si>
  <si>
    <t>S-26</t>
  </si>
  <si>
    <t>S-27</t>
  </si>
  <si>
    <t>S-28</t>
  </si>
  <si>
    <t>S-29</t>
  </si>
  <si>
    <t>S-30</t>
  </si>
  <si>
    <t>S-31</t>
  </si>
  <si>
    <t>S-32</t>
  </si>
  <si>
    <t>Billar</t>
  </si>
  <si>
    <t>Número mesas de billar y pool</t>
  </si>
  <si>
    <t>S-34</t>
  </si>
  <si>
    <t>S-35</t>
  </si>
  <si>
    <t>Número de torneos realizados</t>
  </si>
  <si>
    <t>Número de torneos y eventos realizados en el club</t>
  </si>
  <si>
    <t>Deportes</t>
  </si>
  <si>
    <t>S-36</t>
  </si>
  <si>
    <t>Salones</t>
  </si>
  <si>
    <t>Número de salones</t>
  </si>
  <si>
    <t>S-37</t>
  </si>
  <si>
    <t>N-05</t>
  </si>
  <si>
    <t>N-06</t>
  </si>
  <si>
    <t>N-07</t>
  </si>
  <si>
    <t>N-08</t>
  </si>
  <si>
    <t xml:space="preserve">Cantidad de empleados de cada club según rango salarial establecido dentro del rango :  Hasta 1 SMLV </t>
  </si>
  <si>
    <t>Cantidad de empleados de cada club según rango salarial establecido dentro del rango :  De 1 SMLV + $1 a 4 SMLV</t>
  </si>
  <si>
    <t xml:space="preserve">Cantidad de empleados de cada club según rango salarial establecido dentro del rango :  De 4 SMLV + $1 a 8 SMLV </t>
  </si>
  <si>
    <t>Cantidad de empleados de cada club según rango salarial establecido dentro del rango :  De 8 SMLV + $1 a 12 SMLV</t>
  </si>
  <si>
    <t>Cantidad de empleados de cada club según rango salarial establecido dentro del rango :  De 12 SMLV + $1 a 16 SMLV</t>
  </si>
  <si>
    <t>Cantidad de empleados de cada club según rango salarial establecido dentro del rango :   Mayor de  16 SMLV + $1</t>
  </si>
  <si>
    <t>Todos</t>
  </si>
  <si>
    <t>N-09</t>
  </si>
  <si>
    <t>N-10</t>
  </si>
  <si>
    <t>N-11</t>
  </si>
  <si>
    <t>N-12</t>
  </si>
  <si>
    <t>N-13</t>
  </si>
  <si>
    <t>N-14</t>
  </si>
  <si>
    <t>Nómina Deportiva otra modalidad</t>
  </si>
  <si>
    <t>Nómina tenis y golf indefinidos</t>
  </si>
  <si>
    <t>Nómina Deportiva (otros) indefinidos</t>
  </si>
  <si>
    <t>Nómina Deportiva (otros) otra modalidad</t>
  </si>
  <si>
    <t>Porcentaje de empleados dedicados a los procesos que no le dan la cara al socio o procesos de soporte</t>
  </si>
  <si>
    <t xml:space="preserve">Porcentaje de empleados dedicados a los procesos de atencion al socio </t>
  </si>
  <si>
    <t>N-15</t>
  </si>
  <si>
    <t>N-16</t>
  </si>
  <si>
    <t>N-17</t>
  </si>
  <si>
    <t>N-18</t>
  </si>
  <si>
    <t>N-19</t>
  </si>
  <si>
    <t>Valor Cuota de Sostenimiento mensual SIN IVA (cuota administración)</t>
  </si>
  <si>
    <t>Valor Cuota de Sostenimiento mensual CON IVA (cuota administración)</t>
  </si>
  <si>
    <t>Valor Consumo Mínimo mensual SIN IVA</t>
  </si>
  <si>
    <t>Número de acciones para la venta que tiene su  club a la fecha</t>
  </si>
  <si>
    <t>Valor aproximado de la acción</t>
  </si>
  <si>
    <t xml:space="preserve">Valor Derecho </t>
  </si>
  <si>
    <t>Valor Traspaso</t>
  </si>
  <si>
    <t xml:space="preserve">Cantidad de derechos vendidos el año </t>
  </si>
  <si>
    <t xml:space="preserve"># salones comedor? </t>
  </si>
  <si>
    <t># de Bares/snacks?</t>
  </si>
  <si>
    <t># de cafeterias?</t>
  </si>
  <si>
    <t>Alimentos y bebidas</t>
  </si>
  <si>
    <t>S-38</t>
  </si>
  <si>
    <t>S-39</t>
  </si>
  <si>
    <t>S-40</t>
  </si>
  <si>
    <t>Tiene sindicato</t>
  </si>
  <si>
    <t>Si/No</t>
  </si>
  <si>
    <t>Km de ciclovia</t>
  </si>
  <si>
    <t>Km</t>
  </si>
  <si>
    <t>Total planta de personal que tienen contrato a término indefinido y trabajan tiempo completo.</t>
  </si>
  <si>
    <t>Total planta de personal que tienen contrato por prestación de servicios</t>
  </si>
  <si>
    <t>Total empleados que tienen contrato a término indefinido y no trabajan tiempo completo</t>
  </si>
  <si>
    <t>N-20</t>
  </si>
  <si>
    <t>N-21</t>
  </si>
  <si>
    <t>N-22</t>
  </si>
  <si>
    <t>Casa club/sedes</t>
  </si>
  <si>
    <t>P-01</t>
  </si>
  <si>
    <t>CARGO</t>
  </si>
  <si>
    <t>CANTIDAD DE PERSONAS</t>
  </si>
  <si>
    <t xml:space="preserve">Directo </t>
  </si>
  <si>
    <t>SALARIO BÁSICO MENSUAL</t>
  </si>
  <si>
    <t>Valor Adicional Mensual Extralegal</t>
  </si>
  <si>
    <t>SALARIO TOTAL</t>
  </si>
  <si>
    <t>BENEFICIO MEDICINA PREPAGADA</t>
  </si>
  <si>
    <t>GERENTE GENERAL</t>
  </si>
  <si>
    <t>GERENTE FINANCIERO</t>
  </si>
  <si>
    <t>DIRECTOR FINANCIERO</t>
  </si>
  <si>
    <t>GERENTE OPERACIONES</t>
  </si>
  <si>
    <t>ASISTENTE DE GERENCIA</t>
  </si>
  <si>
    <t>SECRETARIA DE GERENCIA</t>
  </si>
  <si>
    <t>SECRETARIA DE JUNTA</t>
  </si>
  <si>
    <t>AUXILAR ADMINISTRATIVO</t>
  </si>
  <si>
    <t>RECEPCIONISTA</t>
  </si>
  <si>
    <t>JEFE DE COSTOS</t>
  </si>
  <si>
    <t>AUXILIAR DE COSTOS</t>
  </si>
  <si>
    <t>JEFE DE CARTERA</t>
  </si>
  <si>
    <t>ANALISTA DE CARTERA</t>
  </si>
  <si>
    <t>GERENTE DE RECURSOS HUMANOS</t>
  </si>
  <si>
    <t>SECRETARIA DE RECURSOS HUMANOS</t>
  </si>
  <si>
    <t>LIDER DE GESTIÓN HUMANA</t>
  </si>
  <si>
    <t>ASISTENTE DE GESTIÓN HUMANA</t>
  </si>
  <si>
    <t>CONTADOR</t>
  </si>
  <si>
    <t>ASISTENTE DEL CONTADOR</t>
  </si>
  <si>
    <t>JEFE DE CONTABILIDAD</t>
  </si>
  <si>
    <t>AUXILIAR DE CONTABILIDAD</t>
  </si>
  <si>
    <t>TESORERO</t>
  </si>
  <si>
    <t>JEFE DE COMPRAS</t>
  </si>
  <si>
    <t>SECRETARIA DE COMPRAS</t>
  </si>
  <si>
    <t>AUXILIAR DE COMPRAS</t>
  </si>
  <si>
    <t>JEFE DE ALMACÉN</t>
  </si>
  <si>
    <t>AUXILIAR DE ALMACÉN</t>
  </si>
  <si>
    <t>JEFE DE SISTEMAS</t>
  </si>
  <si>
    <t>AUXILIAR DE SISTEMAS</t>
  </si>
  <si>
    <t>ENCARGADO SG-SST (Gestión y Seguridad)</t>
  </si>
  <si>
    <t>ASEO Y SERVICIOS GENERALES</t>
  </si>
  <si>
    <t>PORTERO</t>
  </si>
  <si>
    <t>VIGILANTE</t>
  </si>
  <si>
    <t>DIRECTOR DE DEPORTES</t>
  </si>
  <si>
    <t>DIRECTOR DE GOLF</t>
  </si>
  <si>
    <t>CAPATAZ DE GOLF</t>
  </si>
  <si>
    <t>DIRECTOR DE NATACIÓN</t>
  </si>
  <si>
    <t>DIRECTOR DE TENIS</t>
  </si>
  <si>
    <t>CADIE MASTER GOLF</t>
  </si>
  <si>
    <t>CADIE MASTER TENIS</t>
  </si>
  <si>
    <t>PROFESOR DE GOLF</t>
  </si>
  <si>
    <t>PROFESOR DE NATACIÓN</t>
  </si>
  <si>
    <t>PROFESOR DE TENNIS</t>
  </si>
  <si>
    <t>GERENTE O ENCARGADO COMERCIAL</t>
  </si>
  <si>
    <t>JEFE DE RELACIONES PÚBLICAS</t>
  </si>
  <si>
    <t>JEFE DE ATENCIÓN AL SOCIO</t>
  </si>
  <si>
    <t>JEFE DE EVENTOS</t>
  </si>
  <si>
    <t>JEFE CASA CLUB</t>
  </si>
  <si>
    <t>JEFE DE ALIMENTOS Y BEBIDAS</t>
  </si>
  <si>
    <t>MAITRE</t>
  </si>
  <si>
    <t>CAPITÁN</t>
  </si>
  <si>
    <t>MESERO FIJO</t>
  </si>
  <si>
    <t>MESERO TEMPORAL</t>
  </si>
  <si>
    <t>CAJERO</t>
  </si>
  <si>
    <t>INGENIERO DE ALIMENTOS y BPM</t>
  </si>
  <si>
    <t>CHEF</t>
  </si>
  <si>
    <t>SUB- CHEF ó SOUS-CHEF</t>
  </si>
  <si>
    <t>COCINERO</t>
  </si>
  <si>
    <t>ENCARGADO COCINA FRIA</t>
  </si>
  <si>
    <t>STEWARD</t>
  </si>
  <si>
    <t>PARRILLERO</t>
  </si>
  <si>
    <t>PORCIONADOR</t>
  </si>
  <si>
    <t>PASTELERO</t>
  </si>
  <si>
    <t>PANADERO</t>
  </si>
  <si>
    <t>JEFE DE MANTENIMIENTO</t>
  </si>
  <si>
    <t>AUXILIAR DE MANTENIMIENTO</t>
  </si>
  <si>
    <t>TÉCNICO ELECTRÓNICO</t>
  </si>
  <si>
    <t>OBRERO</t>
  </si>
  <si>
    <t>Participación (%) del valor de la cuota de administración de su club respecto al valor total de los mantenimientos</t>
  </si>
  <si>
    <t>Participación (%) del valor de la cuota de administración de su club respecto al valor total de los servicios públicos</t>
  </si>
  <si>
    <t>Participación (%) del valor de la cuota de administración de su club respecto al valor total de la planta de personal</t>
  </si>
  <si>
    <t>Participación (%) del valor de la cuota de administración de su club respecto al valor total del impuesto predial</t>
  </si>
  <si>
    <t>Porcentaje de participación de los ingresos que genera su club por los eventos y torneos respecto a los ingresos totales. %.</t>
  </si>
  <si>
    <t>Porcentaje de participación de los ingresos de los restaurantes, torneos y eventos  en los ingresos totales año</t>
  </si>
  <si>
    <t xml:space="preserve">Porcentaje de participación de los ingresos de las actividades deportivas   en los ingresos totales año </t>
  </si>
  <si>
    <t>Porcentaje de participación de la cuota de sostenimiento  en los ingresos totales año</t>
  </si>
  <si>
    <t>Porcentaje de participación de los gastos de personal  en los ingresos totales año</t>
  </si>
  <si>
    <t>Porcentaje de participación de los gastos por servicios públicos en los ingresos totales año</t>
  </si>
  <si>
    <t xml:space="preserve">Porcentaje de participación de los gastos por  impuestos     en los ingresos totales </t>
  </si>
  <si>
    <t>Porcentaje de participación del valor de los  inventarios en relación con los ingresos totales año.</t>
  </si>
  <si>
    <t>Cuál  es el margen de contribución de los eventos</t>
  </si>
  <si>
    <t>Cuál  es el margen de contribución de los restaurantes</t>
  </si>
  <si>
    <t>Cuál  es el margen de contribución de los  hoteles</t>
  </si>
  <si>
    <t>Tuvieron disminución de socios el año?</t>
  </si>
  <si>
    <t>Bajaron el valor de la acción respecto al año anterior?</t>
  </si>
  <si>
    <t>Tuvieron incremento de socios el año ? Responda Si o No</t>
  </si>
  <si>
    <t>Tiene una persona especial para la venta de las acciones? Le paga salario?</t>
  </si>
  <si>
    <t>GOLF</t>
  </si>
  <si>
    <t>RESTAURACION</t>
  </si>
  <si>
    <t>TENIS</t>
  </si>
  <si>
    <t>ATENCION FACILITIES</t>
  </si>
  <si>
    <t>ADMINISTRATIVO</t>
  </si>
  <si>
    <t>DEPORTES EN GENERAL</t>
  </si>
  <si>
    <t>Externo (prestación de servicios)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</si>
</sst>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#,##0.00"/>
    <numFmt numFmtId="166" formatCode="&quot;$&quot;\ #,##0"/>
  </numFmts>
  <fonts count="15">
    <font>
      <sz val="11"/>
      <color theme="1"/>
      <name val="Calibri"/>
      <scheme val="minor"/>
    </font>
    <font>
      <b/>
      <sz val="16"/>
      <color rgb="FFFFFFFF"/>
      <name val="Aptos Narrow"/>
    </font>
    <font>
      <b/>
      <sz val="12"/>
      <name val="Aptos Narrow"/>
    </font>
    <font>
      <b/>
      <sz val="11"/>
      <name val="Aptos Narrow"/>
    </font>
    <font>
      <sz val="11"/>
      <name val="Calibri"/>
      <family val="2"/>
      <scheme val="minor"/>
    </font>
    <font>
      <i/>
      <sz val="9"/>
      <name val="Aptos Narrow"/>
    </font>
    <font>
      <b/>
      <sz val="14"/>
      <name val="Aptos Narrow"/>
    </font>
    <font>
      <i/>
      <sz val="10"/>
      <name val="Aptos Narrow"/>
    </font>
    <font>
      <sz val="9"/>
      <name val="Aptos Narrow"/>
    </font>
    <font>
      <b/>
      <sz val="14"/>
      <color rgb="FFFFFFFF"/>
      <name val="Aptos Narrow"/>
    </font>
    <font>
      <sz val="8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FFFFE0"/>
      </patternFill>
    </fill>
    <fill>
      <patternFill patternType="solid">
        <fgColor rgb="FFFFD580"/>
      </patternFill>
    </fill>
    <fill>
      <patternFill patternType="solid">
        <fgColor rgb="FFFFB6C1"/>
      </patternFill>
    </fill>
    <fill>
      <patternFill patternType="solid">
        <fgColor rgb="FFF5F5F5"/>
      </patternFill>
    </fill>
    <fill>
      <patternFill patternType="solid">
        <fgColor rgb="FFD3D3D3"/>
      </patternFill>
    </fill>
    <fill>
      <patternFill patternType="solid">
        <fgColor rgb="FFFFD700"/>
      </patternFill>
    </fill>
    <fill>
      <patternFill patternType="solid">
        <fgColor rgb="FFD9E2F3"/>
      </patternFill>
    </fill>
    <fill>
      <patternFill patternType="solid">
        <fgColor rgb="FFFFFF9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1">
      <alignment vertical="top"/>
    </xf>
    <xf numFmtId="0" fontId="12" fillId="0" borderId="1"/>
  </cellStyleXfs>
  <cellXfs count="91">
    <xf numFmtId="0" fontId="0" fillId="0" borderId="1" xfId="0">
      <alignment vertical="top"/>
    </xf>
    <xf numFmtId="0" fontId="3" fillId="0" borderId="0" xfId="0" applyFont="1" applyBorder="1">
      <alignment vertical="top"/>
    </xf>
    <xf numFmtId="0" fontId="4" fillId="0" borderId="2" xfId="0" applyFont="1" applyBorder="1">
      <alignment vertical="top"/>
    </xf>
    <xf numFmtId="3" fontId="4" fillId="0" borderId="2" xfId="0" applyNumberFormat="1" applyFont="1" applyBorder="1">
      <alignment vertical="top"/>
    </xf>
    <xf numFmtId="164" fontId="4" fillId="0" borderId="2" xfId="0" applyNumberFormat="1" applyFont="1" applyBorder="1">
      <alignment vertical="top"/>
    </xf>
    <xf numFmtId="4" fontId="4" fillId="0" borderId="2" xfId="0" applyNumberFormat="1" applyFont="1" applyBorder="1">
      <alignment vertical="top"/>
    </xf>
    <xf numFmtId="0" fontId="3" fillId="9" borderId="3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4" fillId="0" borderId="3" xfId="0" applyFont="1" applyBorder="1">
      <alignment vertical="top"/>
    </xf>
    <xf numFmtId="3" fontId="4" fillId="0" borderId="3" xfId="0" applyNumberFormat="1" applyFont="1" applyBorder="1">
      <alignment vertical="top"/>
    </xf>
    <xf numFmtId="0" fontId="8" fillId="0" borderId="0" xfId="0" applyFont="1" applyBorder="1">
      <alignment vertical="top"/>
    </xf>
    <xf numFmtId="0" fontId="3" fillId="9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5" fontId="4" fillId="0" borderId="3" xfId="0" applyNumberFormat="1" applyFont="1" applyBorder="1">
      <alignment vertical="top"/>
    </xf>
    <xf numFmtId="0" fontId="2" fillId="9" borderId="4" xfId="0" applyFont="1" applyFill="1" applyBorder="1">
      <alignment vertical="top"/>
    </xf>
    <xf numFmtId="0" fontId="2" fillId="4" borderId="4" xfId="0" applyFont="1" applyFill="1" applyBorder="1">
      <alignment vertical="top"/>
    </xf>
    <xf numFmtId="0" fontId="4" fillId="0" borderId="4" xfId="0" applyFont="1" applyBorder="1">
      <alignment vertical="top"/>
    </xf>
    <xf numFmtId="3" fontId="4" fillId="0" borderId="4" xfId="0" applyNumberFormat="1" applyFont="1" applyBorder="1">
      <alignment vertical="top"/>
    </xf>
    <xf numFmtId="0" fontId="2" fillId="9" borderId="3" xfId="0" applyFont="1" applyFill="1" applyBorder="1">
      <alignment vertical="top"/>
    </xf>
    <xf numFmtId="0" fontId="2" fillId="4" borderId="3" xfId="0" applyFont="1" applyFill="1" applyBorder="1">
      <alignment vertical="top"/>
    </xf>
    <xf numFmtId="0" fontId="3" fillId="11" borderId="0" xfId="0" applyFont="1" applyFill="1" applyBorder="1" applyAlignment="1">
      <alignment horizontal="center" vertical="top"/>
    </xf>
    <xf numFmtId="0" fontId="4" fillId="0" borderId="6" xfId="0" applyFont="1" applyBorder="1">
      <alignment vertical="top"/>
    </xf>
    <xf numFmtId="0" fontId="4" fillId="0" borderId="7" xfId="0" applyFont="1" applyBorder="1">
      <alignment vertical="top"/>
    </xf>
    <xf numFmtId="3" fontId="4" fillId="0" borderId="7" xfId="0" applyNumberFormat="1" applyFont="1" applyBorder="1">
      <alignment vertical="top"/>
    </xf>
    <xf numFmtId="0" fontId="4" fillId="0" borderId="5" xfId="0" applyFont="1" applyBorder="1">
      <alignment vertical="top"/>
    </xf>
    <xf numFmtId="3" fontId="4" fillId="0" borderId="5" xfId="0" applyNumberFormat="1" applyFont="1" applyBorder="1">
      <alignment vertical="top"/>
    </xf>
    <xf numFmtId="0" fontId="0" fillId="0" borderId="5" xfId="0" applyBorder="1">
      <alignment vertical="top"/>
    </xf>
    <xf numFmtId="0" fontId="4" fillId="0" borderId="1" xfId="0" applyFont="1">
      <alignment vertical="top"/>
    </xf>
    <xf numFmtId="3" fontId="4" fillId="0" borderId="1" xfId="0" applyNumberFormat="1" applyFont="1">
      <alignment vertical="top"/>
    </xf>
    <xf numFmtId="165" fontId="4" fillId="0" borderId="4" xfId="0" applyNumberFormat="1" applyFont="1" applyBorder="1">
      <alignment vertical="top"/>
    </xf>
    <xf numFmtId="0" fontId="4" fillId="13" borderId="3" xfId="0" applyFont="1" applyFill="1" applyBorder="1">
      <alignment vertical="top"/>
    </xf>
    <xf numFmtId="0" fontId="11" fillId="0" borderId="1" xfId="0" applyFont="1" applyAlignment="1">
      <alignment horizontal="left" wrapText="1"/>
    </xf>
    <xf numFmtId="0" fontId="11" fillId="15" borderId="1" xfId="0" applyFont="1" applyFill="1" applyAlignment="1">
      <alignment horizontal="left"/>
    </xf>
    <xf numFmtId="0" fontId="11" fillId="15" borderId="1" xfId="0" applyFont="1" applyFill="1" applyAlignment="1">
      <alignment horizontal="left" wrapText="1"/>
    </xf>
    <xf numFmtId="0" fontId="13" fillId="0" borderId="8" xfId="1" applyFont="1" applyBorder="1" applyAlignment="1">
      <alignment vertical="center"/>
    </xf>
    <xf numFmtId="0" fontId="13" fillId="14" borderId="8" xfId="1" applyFont="1" applyFill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 wrapText="1"/>
    </xf>
    <xf numFmtId="0" fontId="13" fillId="14" borderId="8" xfId="1" applyFont="1" applyFill="1" applyBorder="1" applyAlignment="1">
      <alignment horizontal="center" vertical="center" wrapText="1"/>
    </xf>
    <xf numFmtId="0" fontId="12" fillId="0" borderId="1" xfId="1"/>
    <xf numFmtId="0" fontId="12" fillId="0" borderId="9" xfId="1" applyBorder="1" applyAlignment="1">
      <alignment horizontal="left" vertical="center"/>
    </xf>
    <xf numFmtId="166" fontId="12" fillId="0" borderId="10" xfId="1" applyNumberFormat="1" applyBorder="1"/>
    <xf numFmtId="0" fontId="12" fillId="0" borderId="11" xfId="1" applyBorder="1"/>
    <xf numFmtId="166" fontId="12" fillId="0" borderId="11" xfId="1" applyNumberFormat="1" applyBorder="1"/>
    <xf numFmtId="166" fontId="12" fillId="0" borderId="12" xfId="1" applyNumberFormat="1" applyBorder="1"/>
    <xf numFmtId="0" fontId="12" fillId="0" borderId="13" xfId="1" applyBorder="1"/>
    <xf numFmtId="166" fontId="12" fillId="0" borderId="13" xfId="1" applyNumberFormat="1" applyBorder="1"/>
    <xf numFmtId="0" fontId="12" fillId="0" borderId="12" xfId="1" applyBorder="1"/>
    <xf numFmtId="0" fontId="12" fillId="0" borderId="14" xfId="1" applyBorder="1"/>
    <xf numFmtId="166" fontId="12" fillId="0" borderId="14" xfId="1" applyNumberFormat="1" applyBorder="1"/>
    <xf numFmtId="0" fontId="14" fillId="0" borderId="1" xfId="1" applyFont="1"/>
    <xf numFmtId="0" fontId="12" fillId="0" borderId="15" xfId="1" applyBorder="1"/>
    <xf numFmtId="0" fontId="12" fillId="0" borderId="16" xfId="1" applyBorder="1"/>
    <xf numFmtId="0" fontId="12" fillId="0" borderId="17" xfId="1" applyBorder="1"/>
    <xf numFmtId="0" fontId="11" fillId="0" borderId="1" xfId="1" applyFont="1" applyAlignment="1">
      <alignment horizontal="left"/>
    </xf>
    <xf numFmtId="0" fontId="12" fillId="0" borderId="1" xfId="1" applyAlignment="1">
      <alignment horizontal="left"/>
    </xf>
    <xf numFmtId="0" fontId="11" fillId="0" borderId="1" xfId="1" applyFont="1" applyAlignment="1">
      <alignment horizontal="left" wrapText="1"/>
    </xf>
    <xf numFmtId="0" fontId="11" fillId="0" borderId="1" xfId="1" applyFont="1" applyAlignment="1">
      <alignment horizontal="center"/>
    </xf>
    <xf numFmtId="0" fontId="2" fillId="7" borderId="0" xfId="0" applyFont="1" applyFill="1" applyBorder="1" applyAlignment="1">
      <alignment horizontal="center" vertical="center"/>
    </xf>
    <xf numFmtId="0" fontId="0" fillId="0" borderId="1" xfId="0">
      <alignment vertical="top"/>
    </xf>
    <xf numFmtId="0" fontId="5" fillId="8" borderId="0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3" fillId="5" borderId="0" xfId="0" applyFont="1" applyFill="1" applyBorder="1">
      <alignment vertical="top"/>
    </xf>
    <xf numFmtId="0" fontId="8" fillId="0" borderId="0" xfId="0" applyFont="1" applyBorder="1">
      <alignment vertical="top"/>
    </xf>
    <xf numFmtId="0" fontId="6" fillId="3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top"/>
    </xf>
    <xf numFmtId="0" fontId="2" fillId="10" borderId="0" xfId="0" applyFont="1" applyFill="1" applyBorder="1">
      <alignment vertical="top"/>
    </xf>
    <xf numFmtId="0" fontId="2" fillId="5" borderId="0" xfId="0" applyFont="1" applyFill="1" applyBorder="1">
      <alignment vertical="top"/>
    </xf>
    <xf numFmtId="0" fontId="9" fillId="2" borderId="0" xfId="0" applyFont="1" applyFill="1" applyBorder="1" applyAlignment="1">
      <alignment horizontal="center" vertical="center"/>
    </xf>
    <xf numFmtId="0" fontId="2" fillId="12" borderId="0" xfId="0" applyFont="1" applyFill="1" applyBorder="1" applyAlignment="1">
      <alignment horizontal="center" vertical="top"/>
    </xf>
    <xf numFmtId="0" fontId="12" fillId="0" borderId="1" xfId="1" applyBorder="1" applyAlignment="1">
      <alignment horizontal="left" vertical="center"/>
    </xf>
    <xf numFmtId="0" fontId="12" fillId="0" borderId="1" xfId="1" applyBorder="1"/>
    <xf numFmtId="0" fontId="13" fillId="13" borderId="8" xfId="1" applyFont="1" applyFill="1" applyBorder="1" applyAlignment="1">
      <alignment horizontal="center" vertical="center"/>
    </xf>
    <xf numFmtId="0" fontId="13" fillId="13" borderId="1" xfId="1" applyFont="1" applyFill="1" applyBorder="1" applyAlignment="1">
      <alignment horizontal="center" vertical="center" wrapText="1"/>
    </xf>
    <xf numFmtId="0" fontId="12" fillId="0" borderId="18" xfId="1" applyBorder="1"/>
    <xf numFmtId="0" fontId="12" fillId="0" borderId="19" xfId="1" applyBorder="1" applyAlignment="1">
      <alignment horizontal="center" vertical="center"/>
    </xf>
    <xf numFmtId="0" fontId="12" fillId="0" borderId="20" xfId="1" applyBorder="1"/>
    <xf numFmtId="0" fontId="12" fillId="0" borderId="21" xfId="1" applyBorder="1"/>
    <xf numFmtId="0" fontId="12" fillId="0" borderId="22" xfId="1" applyBorder="1"/>
    <xf numFmtId="0" fontId="12" fillId="0" borderId="23" xfId="1" applyBorder="1"/>
    <xf numFmtId="0" fontId="13" fillId="0" borderId="9" xfId="1" applyFont="1" applyBorder="1" applyAlignment="1">
      <alignment horizontal="center" vertical="center"/>
    </xf>
    <xf numFmtId="0" fontId="12" fillId="0" borderId="10" xfId="1" applyBorder="1" applyAlignment="1">
      <alignment horizontal="center" vertical="center"/>
    </xf>
    <xf numFmtId="0" fontId="12" fillId="0" borderId="11" xfId="1" applyBorder="1" applyAlignment="1">
      <alignment horizontal="center" vertical="center"/>
    </xf>
    <xf numFmtId="0" fontId="12" fillId="0" borderId="14" xfId="1" applyBorder="1" applyAlignment="1">
      <alignment horizontal="center" vertical="center"/>
    </xf>
  </cellXfs>
  <cellStyles count="2">
    <cellStyle name="Normal" xfId="0" builtinId="0"/>
    <cellStyle name="Normal 2" xfId="1" xr:uid="{9F2C950B-2AF3-1F44-858E-6486352252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A370-DBCD-4540-86A4-09D12C36E1AD}">
  <dimension ref="A1:C20"/>
  <sheetViews>
    <sheetView workbookViewId="0">
      <pane xSplit="1" ySplit="1" topLeftCell="B2" activePane="bottomRight" state="frozen"/>
      <selection activeCell="C1" sqref="C1"/>
      <selection pane="topRight" activeCell="F1" sqref="F1"/>
      <selection pane="bottomLeft" activeCell="C4" sqref="C4"/>
      <selection pane="bottomRight" activeCell="C18" sqref="C18"/>
    </sheetView>
  </sheetViews>
  <sheetFormatPr baseColWidth="10" defaultRowHeight="16"/>
  <cols>
    <col min="1" max="1" width="58.6640625" style="57" customWidth="1"/>
    <col min="2" max="2" width="15.5" style="57" bestFit="1" customWidth="1"/>
    <col min="3" max="3" width="16.5" style="57" customWidth="1"/>
    <col min="4" max="4" width="14.5" style="39" customWidth="1"/>
    <col min="5" max="5" width="14.1640625" style="39" customWidth="1"/>
    <col min="6" max="6" width="16" style="39" customWidth="1"/>
    <col min="7" max="7" width="16.1640625" style="39" customWidth="1"/>
    <col min="8" max="8" width="15.33203125" style="39" customWidth="1"/>
    <col min="9" max="9" width="14.83203125" style="39" customWidth="1"/>
    <col min="10" max="10" width="16" style="39" customWidth="1"/>
    <col min="11" max="11" width="19.33203125" style="39" customWidth="1"/>
    <col min="12" max="256" width="10.83203125" style="39"/>
    <col min="257" max="257" width="58.6640625" style="39" customWidth="1"/>
    <col min="258" max="258" width="15.5" style="39" bestFit="1" customWidth="1"/>
    <col min="259" max="259" width="16.5" style="39" customWidth="1"/>
    <col min="260" max="260" width="14.5" style="39" customWidth="1"/>
    <col min="261" max="261" width="14.1640625" style="39" customWidth="1"/>
    <col min="262" max="262" width="16" style="39" customWidth="1"/>
    <col min="263" max="263" width="16.1640625" style="39" customWidth="1"/>
    <col min="264" max="264" width="15.33203125" style="39" customWidth="1"/>
    <col min="265" max="265" width="14.83203125" style="39" customWidth="1"/>
    <col min="266" max="266" width="16" style="39" customWidth="1"/>
    <col min="267" max="267" width="19.33203125" style="39" customWidth="1"/>
    <col min="268" max="512" width="10.83203125" style="39"/>
    <col min="513" max="513" width="58.6640625" style="39" customWidth="1"/>
    <col min="514" max="514" width="15.5" style="39" bestFit="1" customWidth="1"/>
    <col min="515" max="515" width="16.5" style="39" customWidth="1"/>
    <col min="516" max="516" width="14.5" style="39" customWidth="1"/>
    <col min="517" max="517" width="14.1640625" style="39" customWidth="1"/>
    <col min="518" max="518" width="16" style="39" customWidth="1"/>
    <col min="519" max="519" width="16.1640625" style="39" customWidth="1"/>
    <col min="520" max="520" width="15.33203125" style="39" customWidth="1"/>
    <col min="521" max="521" width="14.83203125" style="39" customWidth="1"/>
    <col min="522" max="522" width="16" style="39" customWidth="1"/>
    <col min="523" max="523" width="19.33203125" style="39" customWidth="1"/>
    <col min="524" max="768" width="10.83203125" style="39"/>
    <col min="769" max="769" width="58.6640625" style="39" customWidth="1"/>
    <col min="770" max="770" width="15.5" style="39" bestFit="1" customWidth="1"/>
    <col min="771" max="771" width="16.5" style="39" customWidth="1"/>
    <col min="772" max="772" width="14.5" style="39" customWidth="1"/>
    <col min="773" max="773" width="14.1640625" style="39" customWidth="1"/>
    <col min="774" max="774" width="16" style="39" customWidth="1"/>
    <col min="775" max="775" width="16.1640625" style="39" customWidth="1"/>
    <col min="776" max="776" width="15.33203125" style="39" customWidth="1"/>
    <col min="777" max="777" width="14.83203125" style="39" customWidth="1"/>
    <col min="778" max="778" width="16" style="39" customWidth="1"/>
    <col min="779" max="779" width="19.33203125" style="39" customWidth="1"/>
    <col min="780" max="1024" width="10.83203125" style="39"/>
    <col min="1025" max="1025" width="58.6640625" style="39" customWidth="1"/>
    <col min="1026" max="1026" width="15.5" style="39" bestFit="1" customWidth="1"/>
    <col min="1027" max="1027" width="16.5" style="39" customWidth="1"/>
    <col min="1028" max="1028" width="14.5" style="39" customWidth="1"/>
    <col min="1029" max="1029" width="14.1640625" style="39" customWidth="1"/>
    <col min="1030" max="1030" width="16" style="39" customWidth="1"/>
    <col min="1031" max="1031" width="16.1640625" style="39" customWidth="1"/>
    <col min="1032" max="1032" width="15.33203125" style="39" customWidth="1"/>
    <col min="1033" max="1033" width="14.83203125" style="39" customWidth="1"/>
    <col min="1034" max="1034" width="16" style="39" customWidth="1"/>
    <col min="1035" max="1035" width="19.33203125" style="39" customWidth="1"/>
    <col min="1036" max="1280" width="10.83203125" style="39"/>
    <col min="1281" max="1281" width="58.6640625" style="39" customWidth="1"/>
    <col min="1282" max="1282" width="15.5" style="39" bestFit="1" customWidth="1"/>
    <col min="1283" max="1283" width="16.5" style="39" customWidth="1"/>
    <col min="1284" max="1284" width="14.5" style="39" customWidth="1"/>
    <col min="1285" max="1285" width="14.1640625" style="39" customWidth="1"/>
    <col min="1286" max="1286" width="16" style="39" customWidth="1"/>
    <col min="1287" max="1287" width="16.1640625" style="39" customWidth="1"/>
    <col min="1288" max="1288" width="15.33203125" style="39" customWidth="1"/>
    <col min="1289" max="1289" width="14.83203125" style="39" customWidth="1"/>
    <col min="1290" max="1290" width="16" style="39" customWidth="1"/>
    <col min="1291" max="1291" width="19.33203125" style="39" customWidth="1"/>
    <col min="1292" max="1536" width="10.83203125" style="39"/>
    <col min="1537" max="1537" width="58.6640625" style="39" customWidth="1"/>
    <col min="1538" max="1538" width="15.5" style="39" bestFit="1" customWidth="1"/>
    <col min="1539" max="1539" width="16.5" style="39" customWidth="1"/>
    <col min="1540" max="1540" width="14.5" style="39" customWidth="1"/>
    <col min="1541" max="1541" width="14.1640625" style="39" customWidth="1"/>
    <col min="1542" max="1542" width="16" style="39" customWidth="1"/>
    <col min="1543" max="1543" width="16.1640625" style="39" customWidth="1"/>
    <col min="1544" max="1544" width="15.33203125" style="39" customWidth="1"/>
    <col min="1545" max="1545" width="14.83203125" style="39" customWidth="1"/>
    <col min="1546" max="1546" width="16" style="39" customWidth="1"/>
    <col min="1547" max="1547" width="19.33203125" style="39" customWidth="1"/>
    <col min="1548" max="1792" width="10.83203125" style="39"/>
    <col min="1793" max="1793" width="58.6640625" style="39" customWidth="1"/>
    <col min="1794" max="1794" width="15.5" style="39" bestFit="1" customWidth="1"/>
    <col min="1795" max="1795" width="16.5" style="39" customWidth="1"/>
    <col min="1796" max="1796" width="14.5" style="39" customWidth="1"/>
    <col min="1797" max="1797" width="14.1640625" style="39" customWidth="1"/>
    <col min="1798" max="1798" width="16" style="39" customWidth="1"/>
    <col min="1799" max="1799" width="16.1640625" style="39" customWidth="1"/>
    <col min="1800" max="1800" width="15.33203125" style="39" customWidth="1"/>
    <col min="1801" max="1801" width="14.83203125" style="39" customWidth="1"/>
    <col min="1802" max="1802" width="16" style="39" customWidth="1"/>
    <col min="1803" max="1803" width="19.33203125" style="39" customWidth="1"/>
    <col min="1804" max="2048" width="10.83203125" style="39"/>
    <col min="2049" max="2049" width="58.6640625" style="39" customWidth="1"/>
    <col min="2050" max="2050" width="15.5" style="39" bestFit="1" customWidth="1"/>
    <col min="2051" max="2051" width="16.5" style="39" customWidth="1"/>
    <col min="2052" max="2052" width="14.5" style="39" customWidth="1"/>
    <col min="2053" max="2053" width="14.1640625" style="39" customWidth="1"/>
    <col min="2054" max="2054" width="16" style="39" customWidth="1"/>
    <col min="2055" max="2055" width="16.1640625" style="39" customWidth="1"/>
    <col min="2056" max="2056" width="15.33203125" style="39" customWidth="1"/>
    <col min="2057" max="2057" width="14.83203125" style="39" customWidth="1"/>
    <col min="2058" max="2058" width="16" style="39" customWidth="1"/>
    <col min="2059" max="2059" width="19.33203125" style="39" customWidth="1"/>
    <col min="2060" max="2304" width="10.83203125" style="39"/>
    <col min="2305" max="2305" width="58.6640625" style="39" customWidth="1"/>
    <col min="2306" max="2306" width="15.5" style="39" bestFit="1" customWidth="1"/>
    <col min="2307" max="2307" width="16.5" style="39" customWidth="1"/>
    <col min="2308" max="2308" width="14.5" style="39" customWidth="1"/>
    <col min="2309" max="2309" width="14.1640625" style="39" customWidth="1"/>
    <col min="2310" max="2310" width="16" style="39" customWidth="1"/>
    <col min="2311" max="2311" width="16.1640625" style="39" customWidth="1"/>
    <col min="2312" max="2312" width="15.33203125" style="39" customWidth="1"/>
    <col min="2313" max="2313" width="14.83203125" style="39" customWidth="1"/>
    <col min="2314" max="2314" width="16" style="39" customWidth="1"/>
    <col min="2315" max="2315" width="19.33203125" style="39" customWidth="1"/>
    <col min="2316" max="2560" width="10.83203125" style="39"/>
    <col min="2561" max="2561" width="58.6640625" style="39" customWidth="1"/>
    <col min="2562" max="2562" width="15.5" style="39" bestFit="1" customWidth="1"/>
    <col min="2563" max="2563" width="16.5" style="39" customWidth="1"/>
    <col min="2564" max="2564" width="14.5" style="39" customWidth="1"/>
    <col min="2565" max="2565" width="14.1640625" style="39" customWidth="1"/>
    <col min="2566" max="2566" width="16" style="39" customWidth="1"/>
    <col min="2567" max="2567" width="16.1640625" style="39" customWidth="1"/>
    <col min="2568" max="2568" width="15.33203125" style="39" customWidth="1"/>
    <col min="2569" max="2569" width="14.83203125" style="39" customWidth="1"/>
    <col min="2570" max="2570" width="16" style="39" customWidth="1"/>
    <col min="2571" max="2571" width="19.33203125" style="39" customWidth="1"/>
    <col min="2572" max="2816" width="10.83203125" style="39"/>
    <col min="2817" max="2817" width="58.6640625" style="39" customWidth="1"/>
    <col min="2818" max="2818" width="15.5" style="39" bestFit="1" customWidth="1"/>
    <col min="2819" max="2819" width="16.5" style="39" customWidth="1"/>
    <col min="2820" max="2820" width="14.5" style="39" customWidth="1"/>
    <col min="2821" max="2821" width="14.1640625" style="39" customWidth="1"/>
    <col min="2822" max="2822" width="16" style="39" customWidth="1"/>
    <col min="2823" max="2823" width="16.1640625" style="39" customWidth="1"/>
    <col min="2824" max="2824" width="15.33203125" style="39" customWidth="1"/>
    <col min="2825" max="2825" width="14.83203125" style="39" customWidth="1"/>
    <col min="2826" max="2826" width="16" style="39" customWidth="1"/>
    <col min="2827" max="2827" width="19.33203125" style="39" customWidth="1"/>
    <col min="2828" max="3072" width="10.83203125" style="39"/>
    <col min="3073" max="3073" width="58.6640625" style="39" customWidth="1"/>
    <col min="3074" max="3074" width="15.5" style="39" bestFit="1" customWidth="1"/>
    <col min="3075" max="3075" width="16.5" style="39" customWidth="1"/>
    <col min="3076" max="3076" width="14.5" style="39" customWidth="1"/>
    <col min="3077" max="3077" width="14.1640625" style="39" customWidth="1"/>
    <col min="3078" max="3078" width="16" style="39" customWidth="1"/>
    <col min="3079" max="3079" width="16.1640625" style="39" customWidth="1"/>
    <col min="3080" max="3080" width="15.33203125" style="39" customWidth="1"/>
    <col min="3081" max="3081" width="14.83203125" style="39" customWidth="1"/>
    <col min="3082" max="3082" width="16" style="39" customWidth="1"/>
    <col min="3083" max="3083" width="19.33203125" style="39" customWidth="1"/>
    <col min="3084" max="3328" width="10.83203125" style="39"/>
    <col min="3329" max="3329" width="58.6640625" style="39" customWidth="1"/>
    <col min="3330" max="3330" width="15.5" style="39" bestFit="1" customWidth="1"/>
    <col min="3331" max="3331" width="16.5" style="39" customWidth="1"/>
    <col min="3332" max="3332" width="14.5" style="39" customWidth="1"/>
    <col min="3333" max="3333" width="14.1640625" style="39" customWidth="1"/>
    <col min="3334" max="3334" width="16" style="39" customWidth="1"/>
    <col min="3335" max="3335" width="16.1640625" style="39" customWidth="1"/>
    <col min="3336" max="3336" width="15.33203125" style="39" customWidth="1"/>
    <col min="3337" max="3337" width="14.83203125" style="39" customWidth="1"/>
    <col min="3338" max="3338" width="16" style="39" customWidth="1"/>
    <col min="3339" max="3339" width="19.33203125" style="39" customWidth="1"/>
    <col min="3340" max="3584" width="10.83203125" style="39"/>
    <col min="3585" max="3585" width="58.6640625" style="39" customWidth="1"/>
    <col min="3586" max="3586" width="15.5" style="39" bestFit="1" customWidth="1"/>
    <col min="3587" max="3587" width="16.5" style="39" customWidth="1"/>
    <col min="3588" max="3588" width="14.5" style="39" customWidth="1"/>
    <col min="3589" max="3589" width="14.1640625" style="39" customWidth="1"/>
    <col min="3590" max="3590" width="16" style="39" customWidth="1"/>
    <col min="3591" max="3591" width="16.1640625" style="39" customWidth="1"/>
    <col min="3592" max="3592" width="15.33203125" style="39" customWidth="1"/>
    <col min="3593" max="3593" width="14.83203125" style="39" customWidth="1"/>
    <col min="3594" max="3594" width="16" style="39" customWidth="1"/>
    <col min="3595" max="3595" width="19.33203125" style="39" customWidth="1"/>
    <col min="3596" max="3840" width="10.83203125" style="39"/>
    <col min="3841" max="3841" width="58.6640625" style="39" customWidth="1"/>
    <col min="3842" max="3842" width="15.5" style="39" bestFit="1" customWidth="1"/>
    <col min="3843" max="3843" width="16.5" style="39" customWidth="1"/>
    <col min="3844" max="3844" width="14.5" style="39" customWidth="1"/>
    <col min="3845" max="3845" width="14.1640625" style="39" customWidth="1"/>
    <col min="3846" max="3846" width="16" style="39" customWidth="1"/>
    <col min="3847" max="3847" width="16.1640625" style="39" customWidth="1"/>
    <col min="3848" max="3848" width="15.33203125" style="39" customWidth="1"/>
    <col min="3849" max="3849" width="14.83203125" style="39" customWidth="1"/>
    <col min="3850" max="3850" width="16" style="39" customWidth="1"/>
    <col min="3851" max="3851" width="19.33203125" style="39" customWidth="1"/>
    <col min="3852" max="4096" width="10.83203125" style="39"/>
    <col min="4097" max="4097" width="58.6640625" style="39" customWidth="1"/>
    <col min="4098" max="4098" width="15.5" style="39" bestFit="1" customWidth="1"/>
    <col min="4099" max="4099" width="16.5" style="39" customWidth="1"/>
    <col min="4100" max="4100" width="14.5" style="39" customWidth="1"/>
    <col min="4101" max="4101" width="14.1640625" style="39" customWidth="1"/>
    <col min="4102" max="4102" width="16" style="39" customWidth="1"/>
    <col min="4103" max="4103" width="16.1640625" style="39" customWidth="1"/>
    <col min="4104" max="4104" width="15.33203125" style="39" customWidth="1"/>
    <col min="4105" max="4105" width="14.83203125" style="39" customWidth="1"/>
    <col min="4106" max="4106" width="16" style="39" customWidth="1"/>
    <col min="4107" max="4107" width="19.33203125" style="39" customWidth="1"/>
    <col min="4108" max="4352" width="10.83203125" style="39"/>
    <col min="4353" max="4353" width="58.6640625" style="39" customWidth="1"/>
    <col min="4354" max="4354" width="15.5" style="39" bestFit="1" customWidth="1"/>
    <col min="4355" max="4355" width="16.5" style="39" customWidth="1"/>
    <col min="4356" max="4356" width="14.5" style="39" customWidth="1"/>
    <col min="4357" max="4357" width="14.1640625" style="39" customWidth="1"/>
    <col min="4358" max="4358" width="16" style="39" customWidth="1"/>
    <col min="4359" max="4359" width="16.1640625" style="39" customWidth="1"/>
    <col min="4360" max="4360" width="15.33203125" style="39" customWidth="1"/>
    <col min="4361" max="4361" width="14.83203125" style="39" customWidth="1"/>
    <col min="4362" max="4362" width="16" style="39" customWidth="1"/>
    <col min="4363" max="4363" width="19.33203125" style="39" customWidth="1"/>
    <col min="4364" max="4608" width="10.83203125" style="39"/>
    <col min="4609" max="4609" width="58.6640625" style="39" customWidth="1"/>
    <col min="4610" max="4610" width="15.5" style="39" bestFit="1" customWidth="1"/>
    <col min="4611" max="4611" width="16.5" style="39" customWidth="1"/>
    <col min="4612" max="4612" width="14.5" style="39" customWidth="1"/>
    <col min="4613" max="4613" width="14.1640625" style="39" customWidth="1"/>
    <col min="4614" max="4614" width="16" style="39" customWidth="1"/>
    <col min="4615" max="4615" width="16.1640625" style="39" customWidth="1"/>
    <col min="4616" max="4616" width="15.33203125" style="39" customWidth="1"/>
    <col min="4617" max="4617" width="14.83203125" style="39" customWidth="1"/>
    <col min="4618" max="4618" width="16" style="39" customWidth="1"/>
    <col min="4619" max="4619" width="19.33203125" style="39" customWidth="1"/>
    <col min="4620" max="4864" width="10.83203125" style="39"/>
    <col min="4865" max="4865" width="58.6640625" style="39" customWidth="1"/>
    <col min="4866" max="4866" width="15.5" style="39" bestFit="1" customWidth="1"/>
    <col min="4867" max="4867" width="16.5" style="39" customWidth="1"/>
    <col min="4868" max="4868" width="14.5" style="39" customWidth="1"/>
    <col min="4869" max="4869" width="14.1640625" style="39" customWidth="1"/>
    <col min="4870" max="4870" width="16" style="39" customWidth="1"/>
    <col min="4871" max="4871" width="16.1640625" style="39" customWidth="1"/>
    <col min="4872" max="4872" width="15.33203125" style="39" customWidth="1"/>
    <col min="4873" max="4873" width="14.83203125" style="39" customWidth="1"/>
    <col min="4874" max="4874" width="16" style="39" customWidth="1"/>
    <col min="4875" max="4875" width="19.33203125" style="39" customWidth="1"/>
    <col min="4876" max="5120" width="10.83203125" style="39"/>
    <col min="5121" max="5121" width="58.6640625" style="39" customWidth="1"/>
    <col min="5122" max="5122" width="15.5" style="39" bestFit="1" customWidth="1"/>
    <col min="5123" max="5123" width="16.5" style="39" customWidth="1"/>
    <col min="5124" max="5124" width="14.5" style="39" customWidth="1"/>
    <col min="5125" max="5125" width="14.1640625" style="39" customWidth="1"/>
    <col min="5126" max="5126" width="16" style="39" customWidth="1"/>
    <col min="5127" max="5127" width="16.1640625" style="39" customWidth="1"/>
    <col min="5128" max="5128" width="15.33203125" style="39" customWidth="1"/>
    <col min="5129" max="5129" width="14.83203125" style="39" customWidth="1"/>
    <col min="5130" max="5130" width="16" style="39" customWidth="1"/>
    <col min="5131" max="5131" width="19.33203125" style="39" customWidth="1"/>
    <col min="5132" max="5376" width="10.83203125" style="39"/>
    <col min="5377" max="5377" width="58.6640625" style="39" customWidth="1"/>
    <col min="5378" max="5378" width="15.5" style="39" bestFit="1" customWidth="1"/>
    <col min="5379" max="5379" width="16.5" style="39" customWidth="1"/>
    <col min="5380" max="5380" width="14.5" style="39" customWidth="1"/>
    <col min="5381" max="5381" width="14.1640625" style="39" customWidth="1"/>
    <col min="5382" max="5382" width="16" style="39" customWidth="1"/>
    <col min="5383" max="5383" width="16.1640625" style="39" customWidth="1"/>
    <col min="5384" max="5384" width="15.33203125" style="39" customWidth="1"/>
    <col min="5385" max="5385" width="14.83203125" style="39" customWidth="1"/>
    <col min="5386" max="5386" width="16" style="39" customWidth="1"/>
    <col min="5387" max="5387" width="19.33203125" style="39" customWidth="1"/>
    <col min="5388" max="5632" width="10.83203125" style="39"/>
    <col min="5633" max="5633" width="58.6640625" style="39" customWidth="1"/>
    <col min="5634" max="5634" width="15.5" style="39" bestFit="1" customWidth="1"/>
    <col min="5635" max="5635" width="16.5" style="39" customWidth="1"/>
    <col min="5636" max="5636" width="14.5" style="39" customWidth="1"/>
    <col min="5637" max="5637" width="14.1640625" style="39" customWidth="1"/>
    <col min="5638" max="5638" width="16" style="39" customWidth="1"/>
    <col min="5639" max="5639" width="16.1640625" style="39" customWidth="1"/>
    <col min="5640" max="5640" width="15.33203125" style="39" customWidth="1"/>
    <col min="5641" max="5641" width="14.83203125" style="39" customWidth="1"/>
    <col min="5642" max="5642" width="16" style="39" customWidth="1"/>
    <col min="5643" max="5643" width="19.33203125" style="39" customWidth="1"/>
    <col min="5644" max="5888" width="10.83203125" style="39"/>
    <col min="5889" max="5889" width="58.6640625" style="39" customWidth="1"/>
    <col min="5890" max="5890" width="15.5" style="39" bestFit="1" customWidth="1"/>
    <col min="5891" max="5891" width="16.5" style="39" customWidth="1"/>
    <col min="5892" max="5892" width="14.5" style="39" customWidth="1"/>
    <col min="5893" max="5893" width="14.1640625" style="39" customWidth="1"/>
    <col min="5894" max="5894" width="16" style="39" customWidth="1"/>
    <col min="5895" max="5895" width="16.1640625" style="39" customWidth="1"/>
    <col min="5896" max="5896" width="15.33203125" style="39" customWidth="1"/>
    <col min="5897" max="5897" width="14.83203125" style="39" customWidth="1"/>
    <col min="5898" max="5898" width="16" style="39" customWidth="1"/>
    <col min="5899" max="5899" width="19.33203125" style="39" customWidth="1"/>
    <col min="5900" max="6144" width="10.83203125" style="39"/>
    <col min="6145" max="6145" width="58.6640625" style="39" customWidth="1"/>
    <col min="6146" max="6146" width="15.5" style="39" bestFit="1" customWidth="1"/>
    <col min="6147" max="6147" width="16.5" style="39" customWidth="1"/>
    <col min="6148" max="6148" width="14.5" style="39" customWidth="1"/>
    <col min="6149" max="6149" width="14.1640625" style="39" customWidth="1"/>
    <col min="6150" max="6150" width="16" style="39" customWidth="1"/>
    <col min="6151" max="6151" width="16.1640625" style="39" customWidth="1"/>
    <col min="6152" max="6152" width="15.33203125" style="39" customWidth="1"/>
    <col min="6153" max="6153" width="14.83203125" style="39" customWidth="1"/>
    <col min="6154" max="6154" width="16" style="39" customWidth="1"/>
    <col min="6155" max="6155" width="19.33203125" style="39" customWidth="1"/>
    <col min="6156" max="6400" width="10.83203125" style="39"/>
    <col min="6401" max="6401" width="58.6640625" style="39" customWidth="1"/>
    <col min="6402" max="6402" width="15.5" style="39" bestFit="1" customWidth="1"/>
    <col min="6403" max="6403" width="16.5" style="39" customWidth="1"/>
    <col min="6404" max="6404" width="14.5" style="39" customWidth="1"/>
    <col min="6405" max="6405" width="14.1640625" style="39" customWidth="1"/>
    <col min="6406" max="6406" width="16" style="39" customWidth="1"/>
    <col min="6407" max="6407" width="16.1640625" style="39" customWidth="1"/>
    <col min="6408" max="6408" width="15.33203125" style="39" customWidth="1"/>
    <col min="6409" max="6409" width="14.83203125" style="39" customWidth="1"/>
    <col min="6410" max="6410" width="16" style="39" customWidth="1"/>
    <col min="6411" max="6411" width="19.33203125" style="39" customWidth="1"/>
    <col min="6412" max="6656" width="10.83203125" style="39"/>
    <col min="6657" max="6657" width="58.6640625" style="39" customWidth="1"/>
    <col min="6658" max="6658" width="15.5" style="39" bestFit="1" customWidth="1"/>
    <col min="6659" max="6659" width="16.5" style="39" customWidth="1"/>
    <col min="6660" max="6660" width="14.5" style="39" customWidth="1"/>
    <col min="6661" max="6661" width="14.1640625" style="39" customWidth="1"/>
    <col min="6662" max="6662" width="16" style="39" customWidth="1"/>
    <col min="6663" max="6663" width="16.1640625" style="39" customWidth="1"/>
    <col min="6664" max="6664" width="15.33203125" style="39" customWidth="1"/>
    <col min="6665" max="6665" width="14.83203125" style="39" customWidth="1"/>
    <col min="6666" max="6666" width="16" style="39" customWidth="1"/>
    <col min="6667" max="6667" width="19.33203125" style="39" customWidth="1"/>
    <col min="6668" max="6912" width="10.83203125" style="39"/>
    <col min="6913" max="6913" width="58.6640625" style="39" customWidth="1"/>
    <col min="6914" max="6914" width="15.5" style="39" bestFit="1" customWidth="1"/>
    <col min="6915" max="6915" width="16.5" style="39" customWidth="1"/>
    <col min="6916" max="6916" width="14.5" style="39" customWidth="1"/>
    <col min="6917" max="6917" width="14.1640625" style="39" customWidth="1"/>
    <col min="6918" max="6918" width="16" style="39" customWidth="1"/>
    <col min="6919" max="6919" width="16.1640625" style="39" customWidth="1"/>
    <col min="6920" max="6920" width="15.33203125" style="39" customWidth="1"/>
    <col min="6921" max="6921" width="14.83203125" style="39" customWidth="1"/>
    <col min="6922" max="6922" width="16" style="39" customWidth="1"/>
    <col min="6923" max="6923" width="19.33203125" style="39" customWidth="1"/>
    <col min="6924" max="7168" width="10.83203125" style="39"/>
    <col min="7169" max="7169" width="58.6640625" style="39" customWidth="1"/>
    <col min="7170" max="7170" width="15.5" style="39" bestFit="1" customWidth="1"/>
    <col min="7171" max="7171" width="16.5" style="39" customWidth="1"/>
    <col min="7172" max="7172" width="14.5" style="39" customWidth="1"/>
    <col min="7173" max="7173" width="14.1640625" style="39" customWidth="1"/>
    <col min="7174" max="7174" width="16" style="39" customWidth="1"/>
    <col min="7175" max="7175" width="16.1640625" style="39" customWidth="1"/>
    <col min="7176" max="7176" width="15.33203125" style="39" customWidth="1"/>
    <col min="7177" max="7177" width="14.83203125" style="39" customWidth="1"/>
    <col min="7178" max="7178" width="16" style="39" customWidth="1"/>
    <col min="7179" max="7179" width="19.33203125" style="39" customWidth="1"/>
    <col min="7180" max="7424" width="10.83203125" style="39"/>
    <col min="7425" max="7425" width="58.6640625" style="39" customWidth="1"/>
    <col min="7426" max="7426" width="15.5" style="39" bestFit="1" customWidth="1"/>
    <col min="7427" max="7427" width="16.5" style="39" customWidth="1"/>
    <col min="7428" max="7428" width="14.5" style="39" customWidth="1"/>
    <col min="7429" max="7429" width="14.1640625" style="39" customWidth="1"/>
    <col min="7430" max="7430" width="16" style="39" customWidth="1"/>
    <col min="7431" max="7431" width="16.1640625" style="39" customWidth="1"/>
    <col min="7432" max="7432" width="15.33203125" style="39" customWidth="1"/>
    <col min="7433" max="7433" width="14.83203125" style="39" customWidth="1"/>
    <col min="7434" max="7434" width="16" style="39" customWidth="1"/>
    <col min="7435" max="7435" width="19.33203125" style="39" customWidth="1"/>
    <col min="7436" max="7680" width="10.83203125" style="39"/>
    <col min="7681" max="7681" width="58.6640625" style="39" customWidth="1"/>
    <col min="7682" max="7682" width="15.5" style="39" bestFit="1" customWidth="1"/>
    <col min="7683" max="7683" width="16.5" style="39" customWidth="1"/>
    <col min="7684" max="7684" width="14.5" style="39" customWidth="1"/>
    <col min="7685" max="7685" width="14.1640625" style="39" customWidth="1"/>
    <col min="7686" max="7686" width="16" style="39" customWidth="1"/>
    <col min="7687" max="7687" width="16.1640625" style="39" customWidth="1"/>
    <col min="7688" max="7688" width="15.33203125" style="39" customWidth="1"/>
    <col min="7689" max="7689" width="14.83203125" style="39" customWidth="1"/>
    <col min="7690" max="7690" width="16" style="39" customWidth="1"/>
    <col min="7691" max="7691" width="19.33203125" style="39" customWidth="1"/>
    <col min="7692" max="7936" width="10.83203125" style="39"/>
    <col min="7937" max="7937" width="58.6640625" style="39" customWidth="1"/>
    <col min="7938" max="7938" width="15.5" style="39" bestFit="1" customWidth="1"/>
    <col min="7939" max="7939" width="16.5" style="39" customWidth="1"/>
    <col min="7940" max="7940" width="14.5" style="39" customWidth="1"/>
    <col min="7941" max="7941" width="14.1640625" style="39" customWidth="1"/>
    <col min="7942" max="7942" width="16" style="39" customWidth="1"/>
    <col min="7943" max="7943" width="16.1640625" style="39" customWidth="1"/>
    <col min="7944" max="7944" width="15.33203125" style="39" customWidth="1"/>
    <col min="7945" max="7945" width="14.83203125" style="39" customWidth="1"/>
    <col min="7946" max="7946" width="16" style="39" customWidth="1"/>
    <col min="7947" max="7947" width="19.33203125" style="39" customWidth="1"/>
    <col min="7948" max="8192" width="10.83203125" style="39"/>
    <col min="8193" max="8193" width="58.6640625" style="39" customWidth="1"/>
    <col min="8194" max="8194" width="15.5" style="39" bestFit="1" customWidth="1"/>
    <col min="8195" max="8195" width="16.5" style="39" customWidth="1"/>
    <col min="8196" max="8196" width="14.5" style="39" customWidth="1"/>
    <col min="8197" max="8197" width="14.1640625" style="39" customWidth="1"/>
    <col min="8198" max="8198" width="16" style="39" customWidth="1"/>
    <col min="8199" max="8199" width="16.1640625" style="39" customWidth="1"/>
    <col min="8200" max="8200" width="15.33203125" style="39" customWidth="1"/>
    <col min="8201" max="8201" width="14.83203125" style="39" customWidth="1"/>
    <col min="8202" max="8202" width="16" style="39" customWidth="1"/>
    <col min="8203" max="8203" width="19.33203125" style="39" customWidth="1"/>
    <col min="8204" max="8448" width="10.83203125" style="39"/>
    <col min="8449" max="8449" width="58.6640625" style="39" customWidth="1"/>
    <col min="8450" max="8450" width="15.5" style="39" bestFit="1" customWidth="1"/>
    <col min="8451" max="8451" width="16.5" style="39" customWidth="1"/>
    <col min="8452" max="8452" width="14.5" style="39" customWidth="1"/>
    <col min="8453" max="8453" width="14.1640625" style="39" customWidth="1"/>
    <col min="8454" max="8454" width="16" style="39" customWidth="1"/>
    <col min="8455" max="8455" width="16.1640625" style="39" customWidth="1"/>
    <col min="8456" max="8456" width="15.33203125" style="39" customWidth="1"/>
    <col min="8457" max="8457" width="14.83203125" style="39" customWidth="1"/>
    <col min="8458" max="8458" width="16" style="39" customWidth="1"/>
    <col min="8459" max="8459" width="19.33203125" style="39" customWidth="1"/>
    <col min="8460" max="8704" width="10.83203125" style="39"/>
    <col min="8705" max="8705" width="58.6640625" style="39" customWidth="1"/>
    <col min="8706" max="8706" width="15.5" style="39" bestFit="1" customWidth="1"/>
    <col min="8707" max="8707" width="16.5" style="39" customWidth="1"/>
    <col min="8708" max="8708" width="14.5" style="39" customWidth="1"/>
    <col min="8709" max="8709" width="14.1640625" style="39" customWidth="1"/>
    <col min="8710" max="8710" width="16" style="39" customWidth="1"/>
    <col min="8711" max="8711" width="16.1640625" style="39" customWidth="1"/>
    <col min="8712" max="8712" width="15.33203125" style="39" customWidth="1"/>
    <col min="8713" max="8713" width="14.83203125" style="39" customWidth="1"/>
    <col min="8714" max="8714" width="16" style="39" customWidth="1"/>
    <col min="8715" max="8715" width="19.33203125" style="39" customWidth="1"/>
    <col min="8716" max="8960" width="10.83203125" style="39"/>
    <col min="8961" max="8961" width="58.6640625" style="39" customWidth="1"/>
    <col min="8962" max="8962" width="15.5" style="39" bestFit="1" customWidth="1"/>
    <col min="8963" max="8963" width="16.5" style="39" customWidth="1"/>
    <col min="8964" max="8964" width="14.5" style="39" customWidth="1"/>
    <col min="8965" max="8965" width="14.1640625" style="39" customWidth="1"/>
    <col min="8966" max="8966" width="16" style="39" customWidth="1"/>
    <col min="8967" max="8967" width="16.1640625" style="39" customWidth="1"/>
    <col min="8968" max="8968" width="15.33203125" style="39" customWidth="1"/>
    <col min="8969" max="8969" width="14.83203125" style="39" customWidth="1"/>
    <col min="8970" max="8970" width="16" style="39" customWidth="1"/>
    <col min="8971" max="8971" width="19.33203125" style="39" customWidth="1"/>
    <col min="8972" max="9216" width="10.83203125" style="39"/>
    <col min="9217" max="9217" width="58.6640625" style="39" customWidth="1"/>
    <col min="9218" max="9218" width="15.5" style="39" bestFit="1" customWidth="1"/>
    <col min="9219" max="9219" width="16.5" style="39" customWidth="1"/>
    <col min="9220" max="9220" width="14.5" style="39" customWidth="1"/>
    <col min="9221" max="9221" width="14.1640625" style="39" customWidth="1"/>
    <col min="9222" max="9222" width="16" style="39" customWidth="1"/>
    <col min="9223" max="9223" width="16.1640625" style="39" customWidth="1"/>
    <col min="9224" max="9224" width="15.33203125" style="39" customWidth="1"/>
    <col min="9225" max="9225" width="14.83203125" style="39" customWidth="1"/>
    <col min="9226" max="9226" width="16" style="39" customWidth="1"/>
    <col min="9227" max="9227" width="19.33203125" style="39" customWidth="1"/>
    <col min="9228" max="9472" width="10.83203125" style="39"/>
    <col min="9473" max="9473" width="58.6640625" style="39" customWidth="1"/>
    <col min="9474" max="9474" width="15.5" style="39" bestFit="1" customWidth="1"/>
    <col min="9475" max="9475" width="16.5" style="39" customWidth="1"/>
    <col min="9476" max="9476" width="14.5" style="39" customWidth="1"/>
    <col min="9477" max="9477" width="14.1640625" style="39" customWidth="1"/>
    <col min="9478" max="9478" width="16" style="39" customWidth="1"/>
    <col min="9479" max="9479" width="16.1640625" style="39" customWidth="1"/>
    <col min="9480" max="9480" width="15.33203125" style="39" customWidth="1"/>
    <col min="9481" max="9481" width="14.83203125" style="39" customWidth="1"/>
    <col min="9482" max="9482" width="16" style="39" customWidth="1"/>
    <col min="9483" max="9483" width="19.33203125" style="39" customWidth="1"/>
    <col min="9484" max="9728" width="10.83203125" style="39"/>
    <col min="9729" max="9729" width="58.6640625" style="39" customWidth="1"/>
    <col min="9730" max="9730" width="15.5" style="39" bestFit="1" customWidth="1"/>
    <col min="9731" max="9731" width="16.5" style="39" customWidth="1"/>
    <col min="9732" max="9732" width="14.5" style="39" customWidth="1"/>
    <col min="9733" max="9733" width="14.1640625" style="39" customWidth="1"/>
    <col min="9734" max="9734" width="16" style="39" customWidth="1"/>
    <col min="9735" max="9735" width="16.1640625" style="39" customWidth="1"/>
    <col min="9736" max="9736" width="15.33203125" style="39" customWidth="1"/>
    <col min="9737" max="9737" width="14.83203125" style="39" customWidth="1"/>
    <col min="9738" max="9738" width="16" style="39" customWidth="1"/>
    <col min="9739" max="9739" width="19.33203125" style="39" customWidth="1"/>
    <col min="9740" max="9984" width="10.83203125" style="39"/>
    <col min="9985" max="9985" width="58.6640625" style="39" customWidth="1"/>
    <col min="9986" max="9986" width="15.5" style="39" bestFit="1" customWidth="1"/>
    <col min="9987" max="9987" width="16.5" style="39" customWidth="1"/>
    <col min="9988" max="9988" width="14.5" style="39" customWidth="1"/>
    <col min="9989" max="9989" width="14.1640625" style="39" customWidth="1"/>
    <col min="9990" max="9990" width="16" style="39" customWidth="1"/>
    <col min="9991" max="9991" width="16.1640625" style="39" customWidth="1"/>
    <col min="9992" max="9992" width="15.33203125" style="39" customWidth="1"/>
    <col min="9993" max="9993" width="14.83203125" style="39" customWidth="1"/>
    <col min="9994" max="9994" width="16" style="39" customWidth="1"/>
    <col min="9995" max="9995" width="19.33203125" style="39" customWidth="1"/>
    <col min="9996" max="10240" width="10.83203125" style="39"/>
    <col min="10241" max="10241" width="58.6640625" style="39" customWidth="1"/>
    <col min="10242" max="10242" width="15.5" style="39" bestFit="1" customWidth="1"/>
    <col min="10243" max="10243" width="16.5" style="39" customWidth="1"/>
    <col min="10244" max="10244" width="14.5" style="39" customWidth="1"/>
    <col min="10245" max="10245" width="14.1640625" style="39" customWidth="1"/>
    <col min="10246" max="10246" width="16" style="39" customWidth="1"/>
    <col min="10247" max="10247" width="16.1640625" style="39" customWidth="1"/>
    <col min="10248" max="10248" width="15.33203125" style="39" customWidth="1"/>
    <col min="10249" max="10249" width="14.83203125" style="39" customWidth="1"/>
    <col min="10250" max="10250" width="16" style="39" customWidth="1"/>
    <col min="10251" max="10251" width="19.33203125" style="39" customWidth="1"/>
    <col min="10252" max="10496" width="10.83203125" style="39"/>
    <col min="10497" max="10497" width="58.6640625" style="39" customWidth="1"/>
    <col min="10498" max="10498" width="15.5" style="39" bestFit="1" customWidth="1"/>
    <col min="10499" max="10499" width="16.5" style="39" customWidth="1"/>
    <col min="10500" max="10500" width="14.5" style="39" customWidth="1"/>
    <col min="10501" max="10501" width="14.1640625" style="39" customWidth="1"/>
    <col min="10502" max="10502" width="16" style="39" customWidth="1"/>
    <col min="10503" max="10503" width="16.1640625" style="39" customWidth="1"/>
    <col min="10504" max="10504" width="15.33203125" style="39" customWidth="1"/>
    <col min="10505" max="10505" width="14.83203125" style="39" customWidth="1"/>
    <col min="10506" max="10506" width="16" style="39" customWidth="1"/>
    <col min="10507" max="10507" width="19.33203125" style="39" customWidth="1"/>
    <col min="10508" max="10752" width="10.83203125" style="39"/>
    <col min="10753" max="10753" width="58.6640625" style="39" customWidth="1"/>
    <col min="10754" max="10754" width="15.5" style="39" bestFit="1" customWidth="1"/>
    <col min="10755" max="10755" width="16.5" style="39" customWidth="1"/>
    <col min="10756" max="10756" width="14.5" style="39" customWidth="1"/>
    <col min="10757" max="10757" width="14.1640625" style="39" customWidth="1"/>
    <col min="10758" max="10758" width="16" style="39" customWidth="1"/>
    <col min="10759" max="10759" width="16.1640625" style="39" customWidth="1"/>
    <col min="10760" max="10760" width="15.33203125" style="39" customWidth="1"/>
    <col min="10761" max="10761" width="14.83203125" style="39" customWidth="1"/>
    <col min="10762" max="10762" width="16" style="39" customWidth="1"/>
    <col min="10763" max="10763" width="19.33203125" style="39" customWidth="1"/>
    <col min="10764" max="11008" width="10.83203125" style="39"/>
    <col min="11009" max="11009" width="58.6640625" style="39" customWidth="1"/>
    <col min="11010" max="11010" width="15.5" style="39" bestFit="1" customWidth="1"/>
    <col min="11011" max="11011" width="16.5" style="39" customWidth="1"/>
    <col min="11012" max="11012" width="14.5" style="39" customWidth="1"/>
    <col min="11013" max="11013" width="14.1640625" style="39" customWidth="1"/>
    <col min="11014" max="11014" width="16" style="39" customWidth="1"/>
    <col min="11015" max="11015" width="16.1640625" style="39" customWidth="1"/>
    <col min="11016" max="11016" width="15.33203125" style="39" customWidth="1"/>
    <col min="11017" max="11017" width="14.83203125" style="39" customWidth="1"/>
    <col min="11018" max="11018" width="16" style="39" customWidth="1"/>
    <col min="11019" max="11019" width="19.33203125" style="39" customWidth="1"/>
    <col min="11020" max="11264" width="10.83203125" style="39"/>
    <col min="11265" max="11265" width="58.6640625" style="39" customWidth="1"/>
    <col min="11266" max="11266" width="15.5" style="39" bestFit="1" customWidth="1"/>
    <col min="11267" max="11267" width="16.5" style="39" customWidth="1"/>
    <col min="11268" max="11268" width="14.5" style="39" customWidth="1"/>
    <col min="11269" max="11269" width="14.1640625" style="39" customWidth="1"/>
    <col min="11270" max="11270" width="16" style="39" customWidth="1"/>
    <col min="11271" max="11271" width="16.1640625" style="39" customWidth="1"/>
    <col min="11272" max="11272" width="15.33203125" style="39" customWidth="1"/>
    <col min="11273" max="11273" width="14.83203125" style="39" customWidth="1"/>
    <col min="11274" max="11274" width="16" style="39" customWidth="1"/>
    <col min="11275" max="11275" width="19.33203125" style="39" customWidth="1"/>
    <col min="11276" max="11520" width="10.83203125" style="39"/>
    <col min="11521" max="11521" width="58.6640625" style="39" customWidth="1"/>
    <col min="11522" max="11522" width="15.5" style="39" bestFit="1" customWidth="1"/>
    <col min="11523" max="11523" width="16.5" style="39" customWidth="1"/>
    <col min="11524" max="11524" width="14.5" style="39" customWidth="1"/>
    <col min="11525" max="11525" width="14.1640625" style="39" customWidth="1"/>
    <col min="11526" max="11526" width="16" style="39" customWidth="1"/>
    <col min="11527" max="11527" width="16.1640625" style="39" customWidth="1"/>
    <col min="11528" max="11528" width="15.33203125" style="39" customWidth="1"/>
    <col min="11529" max="11529" width="14.83203125" style="39" customWidth="1"/>
    <col min="11530" max="11530" width="16" style="39" customWidth="1"/>
    <col min="11531" max="11531" width="19.33203125" style="39" customWidth="1"/>
    <col min="11532" max="11776" width="10.83203125" style="39"/>
    <col min="11777" max="11777" width="58.6640625" style="39" customWidth="1"/>
    <col min="11778" max="11778" width="15.5" style="39" bestFit="1" customWidth="1"/>
    <col min="11779" max="11779" width="16.5" style="39" customWidth="1"/>
    <col min="11780" max="11780" width="14.5" style="39" customWidth="1"/>
    <col min="11781" max="11781" width="14.1640625" style="39" customWidth="1"/>
    <col min="11782" max="11782" width="16" style="39" customWidth="1"/>
    <col min="11783" max="11783" width="16.1640625" style="39" customWidth="1"/>
    <col min="11784" max="11784" width="15.33203125" style="39" customWidth="1"/>
    <col min="11785" max="11785" width="14.83203125" style="39" customWidth="1"/>
    <col min="11786" max="11786" width="16" style="39" customWidth="1"/>
    <col min="11787" max="11787" width="19.33203125" style="39" customWidth="1"/>
    <col min="11788" max="12032" width="10.83203125" style="39"/>
    <col min="12033" max="12033" width="58.6640625" style="39" customWidth="1"/>
    <col min="12034" max="12034" width="15.5" style="39" bestFit="1" customWidth="1"/>
    <col min="12035" max="12035" width="16.5" style="39" customWidth="1"/>
    <col min="12036" max="12036" width="14.5" style="39" customWidth="1"/>
    <col min="12037" max="12037" width="14.1640625" style="39" customWidth="1"/>
    <col min="12038" max="12038" width="16" style="39" customWidth="1"/>
    <col min="12039" max="12039" width="16.1640625" style="39" customWidth="1"/>
    <col min="12040" max="12040" width="15.33203125" style="39" customWidth="1"/>
    <col min="12041" max="12041" width="14.83203125" style="39" customWidth="1"/>
    <col min="12042" max="12042" width="16" style="39" customWidth="1"/>
    <col min="12043" max="12043" width="19.33203125" style="39" customWidth="1"/>
    <col min="12044" max="12288" width="10.83203125" style="39"/>
    <col min="12289" max="12289" width="58.6640625" style="39" customWidth="1"/>
    <col min="12290" max="12290" width="15.5" style="39" bestFit="1" customWidth="1"/>
    <col min="12291" max="12291" width="16.5" style="39" customWidth="1"/>
    <col min="12292" max="12292" width="14.5" style="39" customWidth="1"/>
    <col min="12293" max="12293" width="14.1640625" style="39" customWidth="1"/>
    <col min="12294" max="12294" width="16" style="39" customWidth="1"/>
    <col min="12295" max="12295" width="16.1640625" style="39" customWidth="1"/>
    <col min="12296" max="12296" width="15.33203125" style="39" customWidth="1"/>
    <col min="12297" max="12297" width="14.83203125" style="39" customWidth="1"/>
    <col min="12298" max="12298" width="16" style="39" customWidth="1"/>
    <col min="12299" max="12299" width="19.33203125" style="39" customWidth="1"/>
    <col min="12300" max="12544" width="10.83203125" style="39"/>
    <col min="12545" max="12545" width="58.6640625" style="39" customWidth="1"/>
    <col min="12546" max="12546" width="15.5" style="39" bestFit="1" customWidth="1"/>
    <col min="12547" max="12547" width="16.5" style="39" customWidth="1"/>
    <col min="12548" max="12548" width="14.5" style="39" customWidth="1"/>
    <col min="12549" max="12549" width="14.1640625" style="39" customWidth="1"/>
    <col min="12550" max="12550" width="16" style="39" customWidth="1"/>
    <col min="12551" max="12551" width="16.1640625" style="39" customWidth="1"/>
    <col min="12552" max="12552" width="15.33203125" style="39" customWidth="1"/>
    <col min="12553" max="12553" width="14.83203125" style="39" customWidth="1"/>
    <col min="12554" max="12554" width="16" style="39" customWidth="1"/>
    <col min="12555" max="12555" width="19.33203125" style="39" customWidth="1"/>
    <col min="12556" max="12800" width="10.83203125" style="39"/>
    <col min="12801" max="12801" width="58.6640625" style="39" customWidth="1"/>
    <col min="12802" max="12802" width="15.5" style="39" bestFit="1" customWidth="1"/>
    <col min="12803" max="12803" width="16.5" style="39" customWidth="1"/>
    <col min="12804" max="12804" width="14.5" style="39" customWidth="1"/>
    <col min="12805" max="12805" width="14.1640625" style="39" customWidth="1"/>
    <col min="12806" max="12806" width="16" style="39" customWidth="1"/>
    <col min="12807" max="12807" width="16.1640625" style="39" customWidth="1"/>
    <col min="12808" max="12808" width="15.33203125" style="39" customWidth="1"/>
    <col min="12809" max="12809" width="14.83203125" style="39" customWidth="1"/>
    <col min="12810" max="12810" width="16" style="39" customWidth="1"/>
    <col min="12811" max="12811" width="19.33203125" style="39" customWidth="1"/>
    <col min="12812" max="13056" width="10.83203125" style="39"/>
    <col min="13057" max="13057" width="58.6640625" style="39" customWidth="1"/>
    <col min="13058" max="13058" width="15.5" style="39" bestFit="1" customWidth="1"/>
    <col min="13059" max="13059" width="16.5" style="39" customWidth="1"/>
    <col min="13060" max="13060" width="14.5" style="39" customWidth="1"/>
    <col min="13061" max="13061" width="14.1640625" style="39" customWidth="1"/>
    <col min="13062" max="13062" width="16" style="39" customWidth="1"/>
    <col min="13063" max="13063" width="16.1640625" style="39" customWidth="1"/>
    <col min="13064" max="13064" width="15.33203125" style="39" customWidth="1"/>
    <col min="13065" max="13065" width="14.83203125" style="39" customWidth="1"/>
    <col min="13066" max="13066" width="16" style="39" customWidth="1"/>
    <col min="13067" max="13067" width="19.33203125" style="39" customWidth="1"/>
    <col min="13068" max="13312" width="10.83203125" style="39"/>
    <col min="13313" max="13313" width="58.6640625" style="39" customWidth="1"/>
    <col min="13314" max="13314" width="15.5" style="39" bestFit="1" customWidth="1"/>
    <col min="13315" max="13315" width="16.5" style="39" customWidth="1"/>
    <col min="13316" max="13316" width="14.5" style="39" customWidth="1"/>
    <col min="13317" max="13317" width="14.1640625" style="39" customWidth="1"/>
    <col min="13318" max="13318" width="16" style="39" customWidth="1"/>
    <col min="13319" max="13319" width="16.1640625" style="39" customWidth="1"/>
    <col min="13320" max="13320" width="15.33203125" style="39" customWidth="1"/>
    <col min="13321" max="13321" width="14.83203125" style="39" customWidth="1"/>
    <col min="13322" max="13322" width="16" style="39" customWidth="1"/>
    <col min="13323" max="13323" width="19.33203125" style="39" customWidth="1"/>
    <col min="13324" max="13568" width="10.83203125" style="39"/>
    <col min="13569" max="13569" width="58.6640625" style="39" customWidth="1"/>
    <col min="13570" max="13570" width="15.5" style="39" bestFit="1" customWidth="1"/>
    <col min="13571" max="13571" width="16.5" style="39" customWidth="1"/>
    <col min="13572" max="13572" width="14.5" style="39" customWidth="1"/>
    <col min="13573" max="13573" width="14.1640625" style="39" customWidth="1"/>
    <col min="13574" max="13574" width="16" style="39" customWidth="1"/>
    <col min="13575" max="13575" width="16.1640625" style="39" customWidth="1"/>
    <col min="13576" max="13576" width="15.33203125" style="39" customWidth="1"/>
    <col min="13577" max="13577" width="14.83203125" style="39" customWidth="1"/>
    <col min="13578" max="13578" width="16" style="39" customWidth="1"/>
    <col min="13579" max="13579" width="19.33203125" style="39" customWidth="1"/>
    <col min="13580" max="13824" width="10.83203125" style="39"/>
    <col min="13825" max="13825" width="58.6640625" style="39" customWidth="1"/>
    <col min="13826" max="13826" width="15.5" style="39" bestFit="1" customWidth="1"/>
    <col min="13827" max="13827" width="16.5" style="39" customWidth="1"/>
    <col min="13828" max="13828" width="14.5" style="39" customWidth="1"/>
    <col min="13829" max="13829" width="14.1640625" style="39" customWidth="1"/>
    <col min="13830" max="13830" width="16" style="39" customWidth="1"/>
    <col min="13831" max="13831" width="16.1640625" style="39" customWidth="1"/>
    <col min="13832" max="13832" width="15.33203125" style="39" customWidth="1"/>
    <col min="13833" max="13833" width="14.83203125" style="39" customWidth="1"/>
    <col min="13834" max="13834" width="16" style="39" customWidth="1"/>
    <col min="13835" max="13835" width="19.33203125" style="39" customWidth="1"/>
    <col min="13836" max="14080" width="10.83203125" style="39"/>
    <col min="14081" max="14081" width="58.6640625" style="39" customWidth="1"/>
    <col min="14082" max="14082" width="15.5" style="39" bestFit="1" customWidth="1"/>
    <col min="14083" max="14083" width="16.5" style="39" customWidth="1"/>
    <col min="14084" max="14084" width="14.5" style="39" customWidth="1"/>
    <col min="14085" max="14085" width="14.1640625" style="39" customWidth="1"/>
    <col min="14086" max="14086" width="16" style="39" customWidth="1"/>
    <col min="14087" max="14087" width="16.1640625" style="39" customWidth="1"/>
    <col min="14088" max="14088" width="15.33203125" style="39" customWidth="1"/>
    <col min="14089" max="14089" width="14.83203125" style="39" customWidth="1"/>
    <col min="14090" max="14090" width="16" style="39" customWidth="1"/>
    <col min="14091" max="14091" width="19.33203125" style="39" customWidth="1"/>
    <col min="14092" max="14336" width="10.83203125" style="39"/>
    <col min="14337" max="14337" width="58.6640625" style="39" customWidth="1"/>
    <col min="14338" max="14338" width="15.5" style="39" bestFit="1" customWidth="1"/>
    <col min="14339" max="14339" width="16.5" style="39" customWidth="1"/>
    <col min="14340" max="14340" width="14.5" style="39" customWidth="1"/>
    <col min="14341" max="14341" width="14.1640625" style="39" customWidth="1"/>
    <col min="14342" max="14342" width="16" style="39" customWidth="1"/>
    <col min="14343" max="14343" width="16.1640625" style="39" customWidth="1"/>
    <col min="14344" max="14344" width="15.33203125" style="39" customWidth="1"/>
    <col min="14345" max="14345" width="14.83203125" style="39" customWidth="1"/>
    <col min="14346" max="14346" width="16" style="39" customWidth="1"/>
    <col min="14347" max="14347" width="19.33203125" style="39" customWidth="1"/>
    <col min="14348" max="14592" width="10.83203125" style="39"/>
    <col min="14593" max="14593" width="58.6640625" style="39" customWidth="1"/>
    <col min="14594" max="14594" width="15.5" style="39" bestFit="1" customWidth="1"/>
    <col min="14595" max="14595" width="16.5" style="39" customWidth="1"/>
    <col min="14596" max="14596" width="14.5" style="39" customWidth="1"/>
    <col min="14597" max="14597" width="14.1640625" style="39" customWidth="1"/>
    <col min="14598" max="14598" width="16" style="39" customWidth="1"/>
    <col min="14599" max="14599" width="16.1640625" style="39" customWidth="1"/>
    <col min="14600" max="14600" width="15.33203125" style="39" customWidth="1"/>
    <col min="14601" max="14601" width="14.83203125" style="39" customWidth="1"/>
    <col min="14602" max="14602" width="16" style="39" customWidth="1"/>
    <col min="14603" max="14603" width="19.33203125" style="39" customWidth="1"/>
    <col min="14604" max="14848" width="10.83203125" style="39"/>
    <col min="14849" max="14849" width="58.6640625" style="39" customWidth="1"/>
    <col min="14850" max="14850" width="15.5" style="39" bestFit="1" customWidth="1"/>
    <col min="14851" max="14851" width="16.5" style="39" customWidth="1"/>
    <col min="14852" max="14852" width="14.5" style="39" customWidth="1"/>
    <col min="14853" max="14853" width="14.1640625" style="39" customWidth="1"/>
    <col min="14854" max="14854" width="16" style="39" customWidth="1"/>
    <col min="14855" max="14855" width="16.1640625" style="39" customWidth="1"/>
    <col min="14856" max="14856" width="15.33203125" style="39" customWidth="1"/>
    <col min="14857" max="14857" width="14.83203125" style="39" customWidth="1"/>
    <col min="14858" max="14858" width="16" style="39" customWidth="1"/>
    <col min="14859" max="14859" width="19.33203125" style="39" customWidth="1"/>
    <col min="14860" max="15104" width="10.83203125" style="39"/>
    <col min="15105" max="15105" width="58.6640625" style="39" customWidth="1"/>
    <col min="15106" max="15106" width="15.5" style="39" bestFit="1" customWidth="1"/>
    <col min="15107" max="15107" width="16.5" style="39" customWidth="1"/>
    <col min="15108" max="15108" width="14.5" style="39" customWidth="1"/>
    <col min="15109" max="15109" width="14.1640625" style="39" customWidth="1"/>
    <col min="15110" max="15110" width="16" style="39" customWidth="1"/>
    <col min="15111" max="15111" width="16.1640625" style="39" customWidth="1"/>
    <col min="15112" max="15112" width="15.33203125" style="39" customWidth="1"/>
    <col min="15113" max="15113" width="14.83203125" style="39" customWidth="1"/>
    <col min="15114" max="15114" width="16" style="39" customWidth="1"/>
    <col min="15115" max="15115" width="19.33203125" style="39" customWidth="1"/>
    <col min="15116" max="15360" width="10.83203125" style="39"/>
    <col min="15361" max="15361" width="58.6640625" style="39" customWidth="1"/>
    <col min="15362" max="15362" width="15.5" style="39" bestFit="1" customWidth="1"/>
    <col min="15363" max="15363" width="16.5" style="39" customWidth="1"/>
    <col min="15364" max="15364" width="14.5" style="39" customWidth="1"/>
    <col min="15365" max="15365" width="14.1640625" style="39" customWidth="1"/>
    <col min="15366" max="15366" width="16" style="39" customWidth="1"/>
    <col min="15367" max="15367" width="16.1640625" style="39" customWidth="1"/>
    <col min="15368" max="15368" width="15.33203125" style="39" customWidth="1"/>
    <col min="15369" max="15369" width="14.83203125" style="39" customWidth="1"/>
    <col min="15370" max="15370" width="16" style="39" customWidth="1"/>
    <col min="15371" max="15371" width="19.33203125" style="39" customWidth="1"/>
    <col min="15372" max="15616" width="10.83203125" style="39"/>
    <col min="15617" max="15617" width="58.6640625" style="39" customWidth="1"/>
    <col min="15618" max="15618" width="15.5" style="39" bestFit="1" customWidth="1"/>
    <col min="15619" max="15619" width="16.5" style="39" customWidth="1"/>
    <col min="15620" max="15620" width="14.5" style="39" customWidth="1"/>
    <col min="15621" max="15621" width="14.1640625" style="39" customWidth="1"/>
    <col min="15622" max="15622" width="16" style="39" customWidth="1"/>
    <col min="15623" max="15623" width="16.1640625" style="39" customWidth="1"/>
    <col min="15624" max="15624" width="15.33203125" style="39" customWidth="1"/>
    <col min="15625" max="15625" width="14.83203125" style="39" customWidth="1"/>
    <col min="15626" max="15626" width="16" style="39" customWidth="1"/>
    <col min="15627" max="15627" width="19.33203125" style="39" customWidth="1"/>
    <col min="15628" max="15872" width="10.83203125" style="39"/>
    <col min="15873" max="15873" width="58.6640625" style="39" customWidth="1"/>
    <col min="15874" max="15874" width="15.5" style="39" bestFit="1" customWidth="1"/>
    <col min="15875" max="15875" width="16.5" style="39" customWidth="1"/>
    <col min="15876" max="15876" width="14.5" style="39" customWidth="1"/>
    <col min="15877" max="15877" width="14.1640625" style="39" customWidth="1"/>
    <col min="15878" max="15878" width="16" style="39" customWidth="1"/>
    <col min="15879" max="15879" width="16.1640625" style="39" customWidth="1"/>
    <col min="15880" max="15880" width="15.33203125" style="39" customWidth="1"/>
    <col min="15881" max="15881" width="14.83203125" style="39" customWidth="1"/>
    <col min="15882" max="15882" width="16" style="39" customWidth="1"/>
    <col min="15883" max="15883" width="19.33203125" style="39" customWidth="1"/>
    <col min="15884" max="16128" width="10.83203125" style="39"/>
    <col min="16129" max="16129" width="58.6640625" style="39" customWidth="1"/>
    <col min="16130" max="16130" width="15.5" style="39" bestFit="1" customWidth="1"/>
    <col min="16131" max="16131" width="16.5" style="39" customWidth="1"/>
    <col min="16132" max="16132" width="14.5" style="39" customWidth="1"/>
    <col min="16133" max="16133" width="14.1640625" style="39" customWidth="1"/>
    <col min="16134" max="16134" width="16" style="39" customWidth="1"/>
    <col min="16135" max="16135" width="16.1640625" style="39" customWidth="1"/>
    <col min="16136" max="16136" width="15.33203125" style="39" customWidth="1"/>
    <col min="16137" max="16137" width="14.83203125" style="39" customWidth="1"/>
    <col min="16138" max="16138" width="16" style="39" customWidth="1"/>
    <col min="16139" max="16139" width="19.33203125" style="39" customWidth="1"/>
    <col min="16140" max="16384" width="10.83203125" style="39"/>
  </cols>
  <sheetData>
    <row r="1" spans="1:3" s="55" customFormat="1">
      <c r="A1" s="54"/>
      <c r="B1" s="54"/>
      <c r="C1" s="54"/>
    </row>
    <row r="2" spans="1:3" s="55" customFormat="1" ht="34">
      <c r="A2" s="56" t="s">
        <v>422</v>
      </c>
      <c r="B2" s="54"/>
      <c r="C2" s="54"/>
    </row>
    <row r="3" spans="1:3" s="55" customFormat="1" ht="34">
      <c r="A3" s="56" t="s">
        <v>423</v>
      </c>
      <c r="B3" s="54"/>
      <c r="C3" s="54"/>
    </row>
    <row r="4" spans="1:3" s="55" customFormat="1" ht="34">
      <c r="A4" s="56" t="s">
        <v>424</v>
      </c>
      <c r="B4" s="54"/>
      <c r="C4" s="54"/>
    </row>
    <row r="5" spans="1:3" s="55" customFormat="1" ht="34">
      <c r="A5" s="56" t="s">
        <v>425</v>
      </c>
      <c r="B5" s="54"/>
      <c r="C5" s="54"/>
    </row>
    <row r="6" spans="1:3" ht="37" customHeight="1">
      <c r="A6" s="56" t="s">
        <v>426</v>
      </c>
    </row>
    <row r="7" spans="1:3" ht="34">
      <c r="A7" s="56" t="s">
        <v>427</v>
      </c>
    </row>
    <row r="8" spans="1:3" ht="34">
      <c r="A8" s="56" t="s">
        <v>428</v>
      </c>
    </row>
    <row r="9" spans="1:3" ht="34">
      <c r="A9" s="56" t="s">
        <v>429</v>
      </c>
    </row>
    <row r="10" spans="1:3" ht="34">
      <c r="A10" s="56" t="s">
        <v>430</v>
      </c>
    </row>
    <row r="11" spans="1:3" ht="34">
      <c r="A11" s="56" t="s">
        <v>431</v>
      </c>
    </row>
    <row r="12" spans="1:3" ht="34">
      <c r="A12" s="56" t="s">
        <v>432</v>
      </c>
    </row>
    <row r="13" spans="1:3" ht="34">
      <c r="A13" s="56" t="s">
        <v>433</v>
      </c>
    </row>
    <row r="14" spans="1:3" ht="17">
      <c r="A14" s="56" t="s">
        <v>434</v>
      </c>
    </row>
    <row r="15" spans="1:3" ht="17">
      <c r="A15" s="56" t="s">
        <v>435</v>
      </c>
    </row>
    <row r="16" spans="1:3" ht="17">
      <c r="A16" s="56" t="s">
        <v>436</v>
      </c>
    </row>
    <row r="17" spans="1:1" ht="17">
      <c r="A17" s="56" t="s">
        <v>437</v>
      </c>
    </row>
    <row r="18" spans="1:1" ht="17">
      <c r="A18" s="56" t="s">
        <v>438</v>
      </c>
    </row>
    <row r="19" spans="1:1" ht="17">
      <c r="A19" s="56" t="s">
        <v>439</v>
      </c>
    </row>
    <row r="20" spans="1:1" ht="34">
      <c r="A20" s="56" t="s">
        <v>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3C28-3D58-A725-3921-243CA6B96548}">
  <dimension ref="A1:D40"/>
  <sheetViews>
    <sheetView tabSelected="1" workbookViewId="0">
      <pane ySplit="2" topLeftCell="A3" activePane="bottomLeft" state="frozen"/>
      <selection pane="bottomLeft" sqref="A1:D1"/>
    </sheetView>
  </sheetViews>
  <sheetFormatPr baseColWidth="10" defaultColWidth="8.83203125" defaultRowHeight="15" customHeight="1"/>
  <cols>
    <col min="1" max="1" width="35.6640625" customWidth="1"/>
    <col min="2" max="2" width="21.5" customWidth="1"/>
    <col min="3" max="3" width="17.1640625" customWidth="1"/>
    <col min="4" max="4" width="21.5" customWidth="1"/>
  </cols>
  <sheetData>
    <row r="1" spans="1:4" ht="21.75" customHeight="1">
      <c r="A1" s="61" t="s">
        <v>0</v>
      </c>
      <c r="B1" s="59"/>
      <c r="C1" s="59"/>
      <c r="D1" s="59"/>
    </row>
    <row r="3" spans="1:4" ht="17.25" customHeight="1">
      <c r="A3" s="62" t="s">
        <v>1</v>
      </c>
      <c r="B3" s="59"/>
      <c r="C3" s="59"/>
      <c r="D3" s="59"/>
    </row>
    <row r="4" spans="1:4" ht="1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4" ht="15" customHeight="1">
      <c r="A5" s="2" t="s">
        <v>6</v>
      </c>
      <c r="B5" s="2">
        <f>CAP0_Identidad_Censo!E5</f>
        <v>0</v>
      </c>
      <c r="C5" s="2"/>
      <c r="D5" s="2" t="s">
        <v>7</v>
      </c>
    </row>
    <row r="6" spans="1:4" ht="15" customHeight="1">
      <c r="A6" s="2" t="s">
        <v>8</v>
      </c>
      <c r="B6" s="2">
        <f>CAP0_Identidad_Censo!E8</f>
        <v>0</v>
      </c>
      <c r="C6" s="2" t="s">
        <v>9</v>
      </c>
      <c r="D6" s="2" t="s">
        <v>7</v>
      </c>
    </row>
    <row r="7" spans="1:4" ht="15" customHeight="1">
      <c r="A7" s="2" t="s">
        <v>10</v>
      </c>
      <c r="B7" s="2">
        <f>CAP0_Identidad_Censo!E11</f>
        <v>0</v>
      </c>
      <c r="C7" s="2" t="s">
        <v>11</v>
      </c>
      <c r="D7" s="2" t="s">
        <v>7</v>
      </c>
    </row>
    <row r="8" spans="1:4" ht="15" customHeight="1">
      <c r="A8" s="2" t="s">
        <v>12</v>
      </c>
      <c r="B8" s="2">
        <f>CAP0_Identidad_Censo!E12</f>
        <v>0</v>
      </c>
      <c r="C8" s="2" t="s">
        <v>13</v>
      </c>
      <c r="D8" s="2" t="s">
        <v>7</v>
      </c>
    </row>
    <row r="9" spans="1:4" ht="15" customHeight="1">
      <c r="A9" s="2"/>
      <c r="B9" s="2"/>
      <c r="C9" s="2"/>
      <c r="D9" s="2"/>
    </row>
    <row r="10" spans="1:4" ht="17.25" customHeight="1">
      <c r="A10" s="63" t="s">
        <v>14</v>
      </c>
      <c r="B10" s="59"/>
      <c r="C10" s="59"/>
      <c r="D10" s="59"/>
    </row>
    <row r="11" spans="1:4" ht="15" customHeight="1">
      <c r="A11" s="1" t="s">
        <v>15</v>
      </c>
      <c r="B11" s="1" t="s">
        <v>16</v>
      </c>
      <c r="C11" s="1" t="s">
        <v>4</v>
      </c>
      <c r="D11" s="1" t="s">
        <v>17</v>
      </c>
    </row>
    <row r="12" spans="1:4" ht="15" customHeight="1">
      <c r="A12" s="2" t="s">
        <v>18</v>
      </c>
      <c r="B12" s="3">
        <f>IFERROR(CAP1_Financiero_CAPEX!E5/12/CAP0_Identidad_Censo!E11,0)</f>
        <v>0</v>
      </c>
      <c r="C12" s="2" t="s">
        <v>19</v>
      </c>
      <c r="D12" s="2" t="s">
        <v>20</v>
      </c>
    </row>
    <row r="13" spans="1:4" ht="15" customHeight="1">
      <c r="A13" s="2" t="s">
        <v>21</v>
      </c>
      <c r="B13" s="3">
        <f>IFERROR(CAP1_Financiero_CAPEX!E11/CAP0_Identidad_Censo!E11,0)</f>
        <v>0</v>
      </c>
      <c r="C13" s="2" t="s">
        <v>19</v>
      </c>
      <c r="D13" s="2" t="s">
        <v>22</v>
      </c>
    </row>
    <row r="14" spans="1:4" ht="15" customHeight="1">
      <c r="A14" s="2" t="s">
        <v>23</v>
      </c>
      <c r="B14" s="4">
        <f>IFERROR(CAP1_Financiero_CAPEX!E11/CAP1_Financiero_CAPEX!E5,0)</f>
        <v>0</v>
      </c>
      <c r="C14" s="2" t="s">
        <v>24</v>
      </c>
      <c r="D14" s="2" t="s">
        <v>25</v>
      </c>
    </row>
    <row r="15" spans="1:4" ht="15" customHeight="1">
      <c r="A15" s="2" t="s">
        <v>26</v>
      </c>
      <c r="B15" s="5">
        <f>IFERROR(CAP1_Financiero_CAPEX!E12/CAP0_Identidad_Censo!E8,0)</f>
        <v>0</v>
      </c>
      <c r="C15" s="2" t="s">
        <v>27</v>
      </c>
      <c r="D15" s="2" t="s">
        <v>28</v>
      </c>
    </row>
    <row r="16" spans="1:4" ht="15" customHeight="1">
      <c r="A16" s="2" t="s">
        <v>29</v>
      </c>
      <c r="B16" s="4">
        <f>IFERROR(CAP1_Financiero_CAPEX!E6/CAP1_Financiero_CAPEX!E5,0)</f>
        <v>0</v>
      </c>
      <c r="C16" s="2" t="s">
        <v>24</v>
      </c>
      <c r="D16" s="2" t="s">
        <v>30</v>
      </c>
    </row>
    <row r="17" spans="1:4" ht="15" customHeight="1">
      <c r="A17" s="2" t="s">
        <v>31</v>
      </c>
      <c r="B17" s="4">
        <f>IFERROR(CAP1_Financiero_CAPEX!E7/CAP1_Financiero_CAPEX!E5,0)</f>
        <v>0</v>
      </c>
      <c r="C17" s="2" t="s">
        <v>24</v>
      </c>
      <c r="D17" s="2" t="s">
        <v>32</v>
      </c>
    </row>
    <row r="18" spans="1:4" ht="15" customHeight="1">
      <c r="A18" s="2"/>
      <c r="B18" s="2"/>
      <c r="C18" s="2"/>
      <c r="D18" s="2"/>
    </row>
    <row r="19" spans="1:4" ht="17.25" customHeight="1">
      <c r="A19" s="64" t="s">
        <v>33</v>
      </c>
      <c r="B19" s="59"/>
      <c r="C19" s="59"/>
      <c r="D19" s="59"/>
    </row>
    <row r="20" spans="1:4" ht="15" customHeight="1">
      <c r="A20" s="1" t="s">
        <v>34</v>
      </c>
      <c r="B20" s="1" t="s">
        <v>16</v>
      </c>
      <c r="C20" s="1" t="s">
        <v>4</v>
      </c>
      <c r="D20" s="1" t="s">
        <v>17</v>
      </c>
    </row>
    <row r="21" spans="1:4" ht="15" customHeight="1">
      <c r="A21" s="2" t="s">
        <v>35</v>
      </c>
      <c r="B21" s="3">
        <f>SUM(CAP2_Nomina!E5:E8)</f>
        <v>0</v>
      </c>
      <c r="C21" s="2" t="s">
        <v>36</v>
      </c>
      <c r="D21" s="2" t="s">
        <v>37</v>
      </c>
    </row>
    <row r="22" spans="1:4" ht="15" customHeight="1">
      <c r="A22" s="2" t="s">
        <v>38</v>
      </c>
      <c r="B22" s="3">
        <f>IFERROR(SUM(CAP2_Nomina!E5:E8)/CAP0_Identidad_Censo!E11,0)</f>
        <v>0</v>
      </c>
      <c r="C22" s="2" t="s">
        <v>19</v>
      </c>
      <c r="D22" s="2" t="s">
        <v>39</v>
      </c>
    </row>
    <row r="23" spans="1:4" ht="15" customHeight="1">
      <c r="A23" s="2" t="s">
        <v>40</v>
      </c>
      <c r="B23" s="3">
        <f>IFERROR(CAP1_Financiero_CAPEX!E5/SUM(CAP2_Nomina!E5:E8)/12,0)</f>
        <v>0</v>
      </c>
      <c r="C23" s="2" t="s">
        <v>41</v>
      </c>
      <c r="D23" s="2" t="s">
        <v>42</v>
      </c>
    </row>
    <row r="24" spans="1:4" ht="15" customHeight="1">
      <c r="A24" s="2" t="s">
        <v>43</v>
      </c>
      <c r="B24" s="4">
        <f>IFERROR(CAP2_Nomina!E6/SUM(CAP2_Nomina!E5:E8),0)</f>
        <v>0</v>
      </c>
      <c r="C24" s="2" t="s">
        <v>24</v>
      </c>
      <c r="D24" s="2" t="s">
        <v>44</v>
      </c>
    </row>
    <row r="25" spans="1:4" ht="15" customHeight="1">
      <c r="A25" s="2" t="s">
        <v>45</v>
      </c>
      <c r="B25" s="4">
        <f>IFERROR(CAP2_Nomina!E7/SUM(CAP2_Nomina!E5:E8),0)</f>
        <v>0</v>
      </c>
      <c r="C25" s="2" t="s">
        <v>24</v>
      </c>
      <c r="D25" s="2" t="s">
        <v>46</v>
      </c>
    </row>
    <row r="26" spans="1:4" ht="15" customHeight="1">
      <c r="A26" s="2"/>
      <c r="B26" s="2"/>
      <c r="C26" s="2"/>
      <c r="D26" s="2"/>
    </row>
    <row r="27" spans="1:4" ht="17.25" customHeight="1">
      <c r="A27" s="65" t="s">
        <v>47</v>
      </c>
      <c r="B27" s="59"/>
      <c r="C27" s="59"/>
      <c r="D27" s="59"/>
    </row>
    <row r="28" spans="1:4" ht="15" customHeight="1">
      <c r="A28" s="1" t="s">
        <v>48</v>
      </c>
      <c r="B28" s="1" t="s">
        <v>16</v>
      </c>
      <c r="C28" s="1" t="s">
        <v>4</v>
      </c>
      <c r="D28" s="1" t="s">
        <v>17</v>
      </c>
    </row>
    <row r="29" spans="1:4" ht="15" customHeight="1">
      <c r="A29" s="2" t="s">
        <v>49</v>
      </c>
      <c r="B29" s="3">
        <f>IFERROR(CAP0_Identidad_Censo!E11/CAP3_Infraestructura_Uso!E8,0)</f>
        <v>0</v>
      </c>
      <c r="C29" s="2" t="s">
        <v>50</v>
      </c>
      <c r="D29" s="2" t="s">
        <v>51</v>
      </c>
    </row>
    <row r="30" spans="1:4" ht="15" customHeight="1">
      <c r="A30" s="2" t="s">
        <v>52</v>
      </c>
      <c r="B30" s="3">
        <f>CAP3_Infraestructura_Uso!E6</f>
        <v>0</v>
      </c>
      <c r="C30" s="2" t="s">
        <v>53</v>
      </c>
      <c r="D30" s="2" t="s">
        <v>54</v>
      </c>
    </row>
    <row r="31" spans="1:4" ht="15" customHeight="1">
      <c r="A31" s="2" t="s">
        <v>55</v>
      </c>
      <c r="B31" s="3">
        <f>CAP3_Infraestructura_Uso!E12</f>
        <v>0</v>
      </c>
      <c r="C31" s="2" t="s">
        <v>56</v>
      </c>
      <c r="D31" s="2" t="s">
        <v>57</v>
      </c>
    </row>
    <row r="32" spans="1:4" ht="15" customHeight="1">
      <c r="A32" s="2" t="s">
        <v>58</v>
      </c>
      <c r="B32" s="3">
        <f>IFERROR(CAP1_Financiero_CAPEX!E7/12/CAP3_Infraestructura_Uso!E13,0)</f>
        <v>0</v>
      </c>
      <c r="C32" s="2" t="s">
        <v>59</v>
      </c>
      <c r="D32" s="2" t="s">
        <v>60</v>
      </c>
    </row>
    <row r="33" spans="1:4" ht="15" customHeight="1">
      <c r="A33" s="2"/>
      <c r="B33" s="2"/>
      <c r="C33" s="2"/>
      <c r="D33" s="2"/>
    </row>
    <row r="34" spans="1:4" ht="17.25" customHeight="1">
      <c r="A34" s="58" t="s">
        <v>61</v>
      </c>
      <c r="B34" s="59"/>
      <c r="C34" s="59"/>
      <c r="D34" s="59"/>
    </row>
    <row r="35" spans="1:4" ht="15" customHeight="1">
      <c r="A35" s="1" t="s">
        <v>62</v>
      </c>
      <c r="B35" s="1" t="s">
        <v>3</v>
      </c>
      <c r="C35" s="1" t="s">
        <v>4</v>
      </c>
      <c r="D35" s="1" t="s">
        <v>5</v>
      </c>
    </row>
    <row r="36" spans="1:4" ht="15" customHeight="1">
      <c r="A36" s="2" t="s">
        <v>63</v>
      </c>
      <c r="B36" s="3">
        <f>CAP4_Tarifas_Cartera!E5</f>
        <v>0</v>
      </c>
      <c r="C36" s="2" t="s">
        <v>64</v>
      </c>
      <c r="D36" s="2" t="s">
        <v>65</v>
      </c>
    </row>
    <row r="37" spans="1:4" ht="15" customHeight="1">
      <c r="A37" s="2" t="s">
        <v>66</v>
      </c>
      <c r="B37" s="3">
        <f>CAP4_Tarifas_Cartera!E6</f>
        <v>0</v>
      </c>
      <c r="C37" s="2" t="s">
        <v>36</v>
      </c>
      <c r="D37" s="2" t="s">
        <v>67</v>
      </c>
    </row>
    <row r="38" spans="1:4" ht="15" customHeight="1">
      <c r="A38" s="2" t="s">
        <v>68</v>
      </c>
      <c r="B38" s="3">
        <f>CAP4_Tarifas_Cartera!E17</f>
        <v>0</v>
      </c>
      <c r="C38" s="2" t="s">
        <v>69</v>
      </c>
      <c r="D38" s="2" t="s">
        <v>70</v>
      </c>
    </row>
    <row r="39" spans="1:4" ht="15" customHeight="1">
      <c r="A39" s="2"/>
      <c r="B39" s="2"/>
      <c r="C39" s="2"/>
      <c r="D39" s="2"/>
    </row>
    <row r="40" spans="1:4" ht="13.5" customHeight="1">
      <c r="A40" s="60" t="s">
        <v>71</v>
      </c>
      <c r="B40" s="59"/>
      <c r="C40" s="59"/>
      <c r="D40" s="59"/>
    </row>
  </sheetData>
  <mergeCells count="7">
    <mergeCell ref="A34:D34"/>
    <mergeCell ref="A40:D40"/>
    <mergeCell ref="A1:D1"/>
    <mergeCell ref="A3:D3"/>
    <mergeCell ref="A10:D10"/>
    <mergeCell ref="A19:D19"/>
    <mergeCell ref="A27:D27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2D8C-F748-46D7-A909-553010BE2528}">
  <dimension ref="A1:K32"/>
  <sheetViews>
    <sheetView workbookViewId="0">
      <selection activeCell="A6" sqref="A6"/>
    </sheetView>
  </sheetViews>
  <sheetFormatPr baseColWidth="10" defaultColWidth="8.83203125" defaultRowHeight="15" customHeight="1"/>
  <cols>
    <col min="1" max="1" width="11.5" customWidth="1"/>
    <col min="2" max="2" width="14.33203125" customWidth="1"/>
    <col min="3" max="3" width="40" customWidth="1"/>
    <col min="4" max="4" width="11.5" customWidth="1"/>
    <col min="5" max="5" width="22.83203125" customWidth="1"/>
  </cols>
  <sheetData>
    <row r="1" spans="1:5" ht="19.5" customHeight="1">
      <c r="A1" s="66" t="s">
        <v>72</v>
      </c>
      <c r="B1" s="59"/>
      <c r="C1" s="59"/>
      <c r="D1" s="59"/>
      <c r="E1" s="59"/>
    </row>
    <row r="2" spans="1:5" ht="15" customHeight="1">
      <c r="A2" s="67" t="s">
        <v>73</v>
      </c>
      <c r="B2" s="59"/>
      <c r="C2" s="59"/>
      <c r="D2" s="59"/>
      <c r="E2" s="59"/>
    </row>
    <row r="4" spans="1:5" ht="15.75" customHeight="1">
      <c r="A4" s="6" t="s">
        <v>74</v>
      </c>
      <c r="B4" s="6" t="s">
        <v>75</v>
      </c>
      <c r="C4" s="6" t="s">
        <v>76</v>
      </c>
      <c r="D4" s="6" t="s">
        <v>4</v>
      </c>
      <c r="E4" s="7" t="s">
        <v>77</v>
      </c>
    </row>
    <row r="5" spans="1:5" ht="15" customHeight="1">
      <c r="A5" s="8" t="s">
        <v>346</v>
      </c>
      <c r="B5" s="8" t="s">
        <v>79</v>
      </c>
      <c r="C5" s="8" t="s">
        <v>6</v>
      </c>
      <c r="D5" s="8" t="s">
        <v>74</v>
      </c>
      <c r="E5" s="8"/>
    </row>
    <row r="6" spans="1:5" ht="15" customHeight="1">
      <c r="A6" s="8"/>
      <c r="B6" s="8"/>
      <c r="C6" s="8" t="s">
        <v>80</v>
      </c>
      <c r="D6" s="8"/>
      <c r="E6" s="8"/>
    </row>
    <row r="7" spans="1:5" ht="15" customHeight="1">
      <c r="A7" s="8" t="s">
        <v>78</v>
      </c>
      <c r="B7" s="16"/>
      <c r="C7" s="16" t="s">
        <v>345</v>
      </c>
      <c r="D7" s="16" t="s">
        <v>11</v>
      </c>
      <c r="E7" s="16"/>
    </row>
    <row r="8" spans="1:5" ht="15" customHeight="1">
      <c r="A8" s="8" t="s">
        <v>81</v>
      </c>
      <c r="B8" s="8" t="s">
        <v>82</v>
      </c>
      <c r="C8" s="8" t="s">
        <v>83</v>
      </c>
      <c r="D8" s="8" t="s">
        <v>9</v>
      </c>
      <c r="E8" s="9"/>
    </row>
    <row r="9" spans="1:5" ht="15" customHeight="1">
      <c r="A9" s="8" t="s">
        <v>84</v>
      </c>
      <c r="B9" s="8" t="s">
        <v>82</v>
      </c>
      <c r="C9" s="8" t="s">
        <v>85</v>
      </c>
      <c r="D9" s="8" t="s">
        <v>9</v>
      </c>
      <c r="E9" s="9"/>
    </row>
    <row r="10" spans="1:5" ht="15" customHeight="1">
      <c r="A10" s="8" t="s">
        <v>86</v>
      </c>
      <c r="B10" s="8" t="s">
        <v>82</v>
      </c>
      <c r="C10" s="8" t="s">
        <v>87</v>
      </c>
      <c r="D10" s="8" t="s">
        <v>11</v>
      </c>
      <c r="E10" s="9"/>
    </row>
    <row r="11" spans="1:5" ht="15" customHeight="1">
      <c r="A11" s="8" t="s">
        <v>88</v>
      </c>
      <c r="B11" s="8" t="s">
        <v>89</v>
      </c>
      <c r="C11" s="8" t="s">
        <v>90</v>
      </c>
      <c r="D11" s="8" t="s">
        <v>11</v>
      </c>
      <c r="E11" s="9"/>
    </row>
    <row r="12" spans="1:5" ht="15" customHeight="1">
      <c r="A12" s="8" t="s">
        <v>91</v>
      </c>
      <c r="B12" s="8" t="s">
        <v>89</v>
      </c>
      <c r="C12" s="8" t="s">
        <v>237</v>
      </c>
      <c r="D12" s="8" t="s">
        <v>11</v>
      </c>
      <c r="E12" s="9"/>
    </row>
    <row r="13" spans="1:5" ht="15" customHeight="1">
      <c r="A13" s="8" t="s">
        <v>92</v>
      </c>
      <c r="B13" s="8" t="s">
        <v>89</v>
      </c>
      <c r="C13" s="8" t="s">
        <v>93</v>
      </c>
      <c r="D13" s="8" t="s">
        <v>11</v>
      </c>
      <c r="E13" s="9"/>
    </row>
    <row r="14" spans="1:5" ht="15" customHeight="1">
      <c r="A14" s="8"/>
      <c r="B14" s="8" t="s">
        <v>79</v>
      </c>
      <c r="C14" s="8" t="s">
        <v>320</v>
      </c>
      <c r="D14" s="8" t="s">
        <v>36</v>
      </c>
      <c r="E14" s="9"/>
    </row>
    <row r="15" spans="1:5" ht="15" customHeight="1">
      <c r="A15" s="8"/>
      <c r="B15" s="8" t="s">
        <v>79</v>
      </c>
      <c r="C15" s="8" t="s">
        <v>321</v>
      </c>
      <c r="D15" s="8" t="s">
        <v>36</v>
      </c>
      <c r="E15" s="9"/>
    </row>
    <row r="16" spans="1:5" ht="15" customHeight="1">
      <c r="A16" s="8"/>
      <c r="B16" s="8" t="s">
        <v>79</v>
      </c>
      <c r="C16" s="8" t="s">
        <v>322</v>
      </c>
      <c r="D16" s="8" t="s">
        <v>36</v>
      </c>
      <c r="E16" s="9"/>
    </row>
    <row r="17" spans="1:11" ht="15" customHeight="1">
      <c r="A17" s="8"/>
      <c r="B17" s="8" t="s">
        <v>79</v>
      </c>
      <c r="C17" s="8" t="s">
        <v>323</v>
      </c>
      <c r="D17" s="8" t="s">
        <v>11</v>
      </c>
      <c r="E17" s="9"/>
    </row>
    <row r="18" spans="1:11" s="32" customFormat="1" ht="15" customHeight="1">
      <c r="A18" s="8"/>
      <c r="B18" s="8" t="s">
        <v>79</v>
      </c>
      <c r="C18" s="8" t="s">
        <v>324</v>
      </c>
      <c r="D18" s="8" t="s">
        <v>36</v>
      </c>
      <c r="E18" s="9"/>
      <c r="F18"/>
      <c r="G18"/>
      <c r="H18"/>
      <c r="I18"/>
      <c r="J18"/>
      <c r="K18"/>
    </row>
    <row r="19" spans="1:11" s="33" customFormat="1" ht="15" customHeight="1">
      <c r="A19" s="8"/>
      <c r="B19" s="8" t="s">
        <v>79</v>
      </c>
      <c r="C19" s="8" t="s">
        <v>325</v>
      </c>
      <c r="D19" s="8" t="s">
        <v>36</v>
      </c>
      <c r="E19" s="9"/>
      <c r="F19"/>
      <c r="G19"/>
      <c r="H19"/>
      <c r="I19"/>
      <c r="J19"/>
      <c r="K19"/>
    </row>
    <row r="20" spans="1:11" s="31" customFormat="1" ht="15" customHeight="1">
      <c r="A20" s="8"/>
      <c r="B20" s="8" t="s">
        <v>79</v>
      </c>
      <c r="C20" s="8" t="s">
        <v>326</v>
      </c>
      <c r="D20" s="8" t="s">
        <v>36</v>
      </c>
      <c r="E20" s="9"/>
    </row>
    <row r="21" spans="1:11" s="31" customFormat="1" ht="15" customHeight="1">
      <c r="A21" s="8"/>
      <c r="B21" s="8" t="s">
        <v>79</v>
      </c>
      <c r="C21" s="8" t="s">
        <v>327</v>
      </c>
      <c r="D21" s="8" t="s">
        <v>11</v>
      </c>
      <c r="E21" s="9"/>
    </row>
    <row r="22" spans="1:11" s="31" customFormat="1" ht="15" customHeight="1">
      <c r="A22" s="8"/>
      <c r="B22" s="8" t="s">
        <v>79</v>
      </c>
      <c r="C22" s="8" t="s">
        <v>335</v>
      </c>
      <c r="D22" s="8" t="s">
        <v>336</v>
      </c>
      <c r="E22" s="9"/>
    </row>
    <row r="23" spans="1:11" ht="15" customHeight="1">
      <c r="A23" s="27"/>
      <c r="B23" s="27"/>
      <c r="C23" s="27"/>
      <c r="D23" s="27"/>
      <c r="E23" s="28"/>
    </row>
    <row r="25" spans="1:11" ht="15.75" customHeight="1">
      <c r="A25" s="68" t="s">
        <v>94</v>
      </c>
      <c r="B25" s="59"/>
      <c r="C25" s="59"/>
      <c r="D25" s="59"/>
      <c r="E25" s="59"/>
    </row>
    <row r="26" spans="1:11" ht="15" customHeight="1">
      <c r="A26" s="69" t="s">
        <v>95</v>
      </c>
      <c r="B26" s="59"/>
      <c r="C26" s="59"/>
      <c r="D26" s="59"/>
      <c r="E26" s="59"/>
    </row>
    <row r="27" spans="1:11" ht="15" customHeight="1">
      <c r="A27" s="69" t="s">
        <v>96</v>
      </c>
      <c r="B27" s="59"/>
      <c r="C27" s="59"/>
      <c r="D27" s="59"/>
      <c r="E27" s="59"/>
    </row>
    <row r="28" spans="1:11" ht="15" customHeight="1">
      <c r="A28" s="69" t="s">
        <v>97</v>
      </c>
      <c r="B28" s="59"/>
      <c r="C28" s="59"/>
      <c r="D28" s="59"/>
      <c r="E28" s="59"/>
    </row>
    <row r="29" spans="1:11" ht="15" customHeight="1">
      <c r="A29" s="69" t="s">
        <v>98</v>
      </c>
      <c r="B29" s="59"/>
      <c r="C29" s="59"/>
      <c r="D29" s="59"/>
      <c r="E29" s="59"/>
    </row>
    <row r="30" spans="1:11" ht="15" customHeight="1">
      <c r="A30" s="69" t="s">
        <v>99</v>
      </c>
      <c r="B30" s="59"/>
      <c r="C30" s="59"/>
      <c r="D30" s="59"/>
      <c r="E30" s="59"/>
    </row>
    <row r="31" spans="1:11" ht="15" customHeight="1">
      <c r="A31" s="69" t="s">
        <v>100</v>
      </c>
      <c r="B31" s="59"/>
      <c r="C31" s="59"/>
      <c r="D31" s="59"/>
      <c r="E31" s="59"/>
    </row>
    <row r="32" spans="1:11" ht="15" customHeight="1">
      <c r="A32" s="69" t="s">
        <v>101</v>
      </c>
      <c r="B32" s="59"/>
      <c r="C32" s="59"/>
      <c r="D32" s="59"/>
      <c r="E32" s="59"/>
    </row>
  </sheetData>
  <mergeCells count="10">
    <mergeCell ref="A28:E28"/>
    <mergeCell ref="A29:E29"/>
    <mergeCell ref="A30:E30"/>
    <mergeCell ref="A31:E31"/>
    <mergeCell ref="A32:E32"/>
    <mergeCell ref="A1:E1"/>
    <mergeCell ref="A2:E2"/>
    <mergeCell ref="A25:E25"/>
    <mergeCell ref="A26:E26"/>
    <mergeCell ref="A27:E27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02ED8-8011-F9C6-3AD8-8DA90E84BA68}">
  <dimension ref="A1:E26"/>
  <sheetViews>
    <sheetView topLeftCell="A2" workbookViewId="0">
      <selection activeCell="D15" sqref="D15"/>
    </sheetView>
  </sheetViews>
  <sheetFormatPr baseColWidth="10" defaultColWidth="8.83203125" defaultRowHeight="15" customHeight="1"/>
  <cols>
    <col min="1" max="1" width="12.83203125" customWidth="1"/>
    <col min="2" max="2" width="15.6640625" customWidth="1"/>
    <col min="3" max="3" width="42.83203125" customWidth="1"/>
    <col min="4" max="4" width="15.6640625" customWidth="1"/>
    <col min="5" max="5" width="21.5" customWidth="1"/>
  </cols>
  <sheetData>
    <row r="1" spans="1:5" ht="19.5" customHeight="1">
      <c r="A1" s="70" t="s">
        <v>102</v>
      </c>
      <c r="B1" s="59"/>
      <c r="C1" s="59"/>
      <c r="D1" s="59"/>
      <c r="E1" s="59"/>
    </row>
    <row r="2" spans="1:5" ht="15" customHeight="1">
      <c r="A2" s="71" t="s">
        <v>103</v>
      </c>
      <c r="B2" s="59"/>
      <c r="C2" s="59"/>
      <c r="D2" s="59"/>
      <c r="E2" s="59"/>
    </row>
    <row r="4" spans="1:5" ht="15.75" customHeight="1">
      <c r="A4" s="11" t="s">
        <v>74</v>
      </c>
      <c r="B4" s="11" t="s">
        <v>75</v>
      </c>
      <c r="C4" s="11" t="s">
        <v>76</v>
      </c>
      <c r="D4" s="11" t="s">
        <v>4</v>
      </c>
      <c r="E4" s="12" t="s">
        <v>77</v>
      </c>
    </row>
    <row r="5" spans="1:5" ht="15" customHeight="1">
      <c r="A5" s="8" t="s">
        <v>104</v>
      </c>
      <c r="B5" s="8" t="s">
        <v>56</v>
      </c>
      <c r="C5" s="8" t="s">
        <v>105</v>
      </c>
      <c r="D5" s="8" t="s">
        <v>36</v>
      </c>
      <c r="E5" s="13"/>
    </row>
    <row r="6" spans="1:5" ht="15" customHeight="1">
      <c r="A6" s="8" t="s">
        <v>106</v>
      </c>
      <c r="B6" s="8" t="s">
        <v>56</v>
      </c>
      <c r="C6" s="8" t="s">
        <v>107</v>
      </c>
      <c r="D6" s="8" t="s">
        <v>36</v>
      </c>
      <c r="E6" s="13"/>
    </row>
    <row r="7" spans="1:5" ht="15" customHeight="1">
      <c r="A7" s="8" t="s">
        <v>108</v>
      </c>
      <c r="B7" s="8" t="s">
        <v>56</v>
      </c>
      <c r="C7" s="8" t="s">
        <v>109</v>
      </c>
      <c r="D7" s="8" t="s">
        <v>36</v>
      </c>
      <c r="E7" s="13"/>
    </row>
    <row r="8" spans="1:5" ht="15" customHeight="1">
      <c r="A8" s="16"/>
      <c r="B8" s="8" t="s">
        <v>56</v>
      </c>
      <c r="C8" s="8" t="s">
        <v>235</v>
      </c>
      <c r="D8" s="8" t="s">
        <v>36</v>
      </c>
      <c r="E8" s="29"/>
    </row>
    <row r="9" spans="1:5" ht="15" customHeight="1">
      <c r="A9" s="16"/>
      <c r="B9" s="8" t="s">
        <v>56</v>
      </c>
      <c r="C9" s="16" t="s">
        <v>233</v>
      </c>
      <c r="D9" s="8" t="s">
        <v>36</v>
      </c>
      <c r="E9" s="29"/>
    </row>
    <row r="10" spans="1:5" ht="15" customHeight="1">
      <c r="A10" s="16"/>
      <c r="B10" s="8" t="s">
        <v>56</v>
      </c>
      <c r="C10" s="16" t="s">
        <v>234</v>
      </c>
      <c r="D10" s="8" t="s">
        <v>36</v>
      </c>
      <c r="E10" s="29"/>
    </row>
    <row r="11" spans="1:5" ht="15" customHeight="1">
      <c r="A11" s="8" t="s">
        <v>110</v>
      </c>
      <c r="B11" s="8" t="s">
        <v>111</v>
      </c>
      <c r="C11" s="8" t="s">
        <v>112</v>
      </c>
      <c r="D11" s="8" t="s">
        <v>36</v>
      </c>
      <c r="E11" s="13"/>
    </row>
    <row r="12" spans="1:5" ht="15" customHeight="1">
      <c r="A12" s="8" t="s">
        <v>113</v>
      </c>
      <c r="B12" s="8" t="s">
        <v>114</v>
      </c>
      <c r="C12" s="8" t="s">
        <v>115</v>
      </c>
      <c r="D12" s="8" t="s">
        <v>36</v>
      </c>
      <c r="E12" s="13"/>
    </row>
    <row r="13" spans="1:5" ht="15" customHeight="1">
      <c r="A13" s="8" t="s">
        <v>116</v>
      </c>
      <c r="B13" s="8" t="s">
        <v>114</v>
      </c>
      <c r="C13" s="8" t="s">
        <v>117</v>
      </c>
      <c r="D13" s="8" t="s">
        <v>36</v>
      </c>
      <c r="E13" s="13"/>
    </row>
    <row r="14" spans="1:5" ht="15" customHeight="1">
      <c r="A14" s="8" t="s">
        <v>118</v>
      </c>
      <c r="B14" s="8" t="s">
        <v>114</v>
      </c>
      <c r="C14" s="8" t="s">
        <v>119</v>
      </c>
      <c r="D14" s="8" t="s">
        <v>36</v>
      </c>
      <c r="E14" s="13"/>
    </row>
    <row r="15" spans="1:5" ht="15" customHeight="1">
      <c r="A15" s="16"/>
      <c r="B15" s="16"/>
      <c r="C15" s="16" t="s">
        <v>236</v>
      </c>
      <c r="D15" s="8" t="s">
        <v>36</v>
      </c>
      <c r="E15" s="29"/>
    </row>
    <row r="16" spans="1:5" ht="15" customHeight="1">
      <c r="A16" s="8" t="s">
        <v>120</v>
      </c>
      <c r="B16" s="8" t="s">
        <v>121</v>
      </c>
      <c r="C16" s="8" t="s">
        <v>122</v>
      </c>
      <c r="D16" s="8" t="s">
        <v>36</v>
      </c>
      <c r="E16" s="13"/>
    </row>
    <row r="18" spans="1:5" ht="15.75" customHeight="1">
      <c r="A18" s="72" t="s">
        <v>123</v>
      </c>
      <c r="B18" s="59"/>
      <c r="C18" s="59"/>
      <c r="D18" s="59"/>
      <c r="E18" s="59"/>
    </row>
    <row r="19" spans="1:5" ht="15" customHeight="1">
      <c r="A19" s="69" t="s">
        <v>124</v>
      </c>
      <c r="B19" s="59"/>
      <c r="C19" s="59"/>
      <c r="D19" s="59"/>
      <c r="E19" s="59"/>
    </row>
    <row r="20" spans="1:5" ht="15" customHeight="1">
      <c r="A20" s="69" t="s">
        <v>125</v>
      </c>
      <c r="B20" s="59"/>
      <c r="C20" s="59"/>
      <c r="D20" s="59"/>
      <c r="E20" s="59"/>
    </row>
    <row r="21" spans="1:5" ht="15" customHeight="1">
      <c r="A21" s="69" t="s">
        <v>126</v>
      </c>
      <c r="B21" s="59"/>
      <c r="C21" s="59"/>
      <c r="D21" s="59"/>
      <c r="E21" s="59"/>
    </row>
    <row r="22" spans="1:5" ht="15" customHeight="1">
      <c r="A22" s="69" t="s">
        <v>127</v>
      </c>
      <c r="B22" s="59"/>
      <c r="C22" s="59"/>
      <c r="D22" s="59"/>
      <c r="E22" s="59"/>
    </row>
    <row r="23" spans="1:5" ht="15" customHeight="1">
      <c r="A23" s="69" t="s">
        <v>128</v>
      </c>
      <c r="B23" s="59"/>
      <c r="C23" s="59"/>
      <c r="D23" s="59"/>
      <c r="E23" s="59"/>
    </row>
    <row r="24" spans="1:5" ht="15" customHeight="1">
      <c r="A24" s="69" t="s">
        <v>129</v>
      </c>
      <c r="B24" s="59"/>
      <c r="C24" s="59"/>
      <c r="D24" s="59"/>
      <c r="E24" s="59"/>
    </row>
    <row r="25" spans="1:5" ht="15" customHeight="1">
      <c r="A25" s="69" t="s">
        <v>130</v>
      </c>
      <c r="B25" s="59"/>
      <c r="C25" s="59"/>
      <c r="D25" s="59"/>
      <c r="E25" s="59"/>
    </row>
    <row r="26" spans="1:5" ht="15" customHeight="1">
      <c r="A26" s="69" t="s">
        <v>131</v>
      </c>
      <c r="B26" s="59"/>
      <c r="C26" s="59"/>
      <c r="D26" s="59"/>
      <c r="E26" s="59"/>
    </row>
  </sheetData>
  <mergeCells count="11">
    <mergeCell ref="A26:E26"/>
    <mergeCell ref="A21:E21"/>
    <mergeCell ref="A22:E22"/>
    <mergeCell ref="A23:E23"/>
    <mergeCell ref="A24:E24"/>
    <mergeCell ref="A25:E25"/>
    <mergeCell ref="A1:E1"/>
    <mergeCell ref="A2:E2"/>
    <mergeCell ref="A18:E18"/>
    <mergeCell ref="A19:E19"/>
    <mergeCell ref="A20:E20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C037-7C28-4CE9-CA4B-0D4EBB12A639}">
  <dimension ref="A1:E37"/>
  <sheetViews>
    <sheetView workbookViewId="0">
      <selection activeCell="B28" sqref="B28"/>
    </sheetView>
  </sheetViews>
  <sheetFormatPr baseColWidth="10" defaultColWidth="8.83203125" defaultRowHeight="15" customHeight="1"/>
  <cols>
    <col min="1" max="1" width="10.33203125" customWidth="1"/>
    <col min="2" max="2" width="17.1640625" customWidth="1"/>
    <col min="3" max="3" width="34.33203125" customWidth="1"/>
    <col min="4" max="4" width="12.83203125" customWidth="1"/>
    <col min="5" max="5" width="17.1640625" customWidth="1"/>
  </cols>
  <sheetData>
    <row r="1" spans="1:5" ht="19.5" customHeight="1">
      <c r="A1" s="66" t="s">
        <v>132</v>
      </c>
      <c r="B1" s="59"/>
      <c r="C1" s="59"/>
      <c r="D1" s="59"/>
      <c r="E1" s="59"/>
    </row>
    <row r="2" spans="1:5" ht="15" customHeight="1">
      <c r="A2" s="67" t="s">
        <v>133</v>
      </c>
      <c r="B2" s="59"/>
      <c r="C2" s="59"/>
      <c r="D2" s="59"/>
      <c r="E2" s="59"/>
    </row>
    <row r="4" spans="1:5" ht="17.25" customHeight="1">
      <c r="A4" s="14" t="s">
        <v>74</v>
      </c>
      <c r="B4" s="14" t="s">
        <v>134</v>
      </c>
      <c r="C4" s="14" t="s">
        <v>135</v>
      </c>
      <c r="D4" s="14" t="s">
        <v>4</v>
      </c>
      <c r="E4" s="15" t="s">
        <v>77</v>
      </c>
    </row>
    <row r="5" spans="1:5" ht="15" customHeight="1">
      <c r="A5" s="16" t="s">
        <v>136</v>
      </c>
      <c r="B5" s="16" t="s">
        <v>137</v>
      </c>
      <c r="C5" s="16" t="s">
        <v>138</v>
      </c>
      <c r="D5" s="16" t="s">
        <v>36</v>
      </c>
      <c r="E5" s="17"/>
    </row>
    <row r="6" spans="1:5" ht="15" customHeight="1">
      <c r="A6" s="16" t="s">
        <v>139</v>
      </c>
      <c r="B6" s="16" t="s">
        <v>140</v>
      </c>
      <c r="C6" s="16" t="s">
        <v>141</v>
      </c>
      <c r="D6" s="16" t="s">
        <v>36</v>
      </c>
      <c r="E6" s="17"/>
    </row>
    <row r="7" spans="1:5" ht="15" customHeight="1">
      <c r="A7" s="16" t="s">
        <v>142</v>
      </c>
      <c r="B7" s="16" t="s">
        <v>143</v>
      </c>
      <c r="C7" s="16" t="s">
        <v>144</v>
      </c>
      <c r="D7" s="16" t="s">
        <v>36</v>
      </c>
      <c r="E7" s="17"/>
    </row>
    <row r="8" spans="1:5" ht="15" customHeight="1">
      <c r="A8" s="16" t="s">
        <v>145</v>
      </c>
      <c r="B8" s="16" t="s">
        <v>146</v>
      </c>
      <c r="C8" s="16" t="s">
        <v>147</v>
      </c>
      <c r="D8" s="16" t="s">
        <v>36</v>
      </c>
      <c r="E8" s="17"/>
    </row>
    <row r="9" spans="1:5" ht="15" customHeight="1">
      <c r="A9" s="16" t="s">
        <v>292</v>
      </c>
      <c r="B9" s="16" t="s">
        <v>137</v>
      </c>
      <c r="C9" s="16" t="s">
        <v>138</v>
      </c>
      <c r="D9" s="16" t="s">
        <v>11</v>
      </c>
      <c r="E9" s="17"/>
    </row>
    <row r="10" spans="1:5" ht="15" customHeight="1">
      <c r="A10" s="16" t="s">
        <v>293</v>
      </c>
      <c r="B10" s="16" t="s">
        <v>140</v>
      </c>
      <c r="C10" s="16" t="s">
        <v>141</v>
      </c>
      <c r="D10" s="16" t="s">
        <v>11</v>
      </c>
      <c r="E10" s="17"/>
    </row>
    <row r="11" spans="1:5" ht="15" customHeight="1">
      <c r="A11" s="16" t="s">
        <v>294</v>
      </c>
      <c r="B11" s="16" t="s">
        <v>143</v>
      </c>
      <c r="C11" s="16" t="s">
        <v>311</v>
      </c>
      <c r="D11" s="16" t="s">
        <v>11</v>
      </c>
      <c r="E11" s="17"/>
    </row>
    <row r="12" spans="1:5" ht="15" customHeight="1">
      <c r="A12" s="16" t="s">
        <v>295</v>
      </c>
      <c r="B12" s="16" t="s">
        <v>143</v>
      </c>
      <c r="C12" s="16" t="s">
        <v>312</v>
      </c>
      <c r="D12" s="16" t="s">
        <v>11</v>
      </c>
      <c r="E12" s="17"/>
    </row>
    <row r="13" spans="1:5" ht="15" customHeight="1">
      <c r="A13" s="16" t="s">
        <v>303</v>
      </c>
      <c r="B13" s="16" t="s">
        <v>143</v>
      </c>
      <c r="C13" s="16" t="s">
        <v>310</v>
      </c>
      <c r="D13" s="16" t="s">
        <v>11</v>
      </c>
      <c r="E13" s="17"/>
    </row>
    <row r="14" spans="1:5" ht="15" customHeight="1">
      <c r="A14" s="16" t="s">
        <v>304</v>
      </c>
      <c r="B14" s="16" t="s">
        <v>143</v>
      </c>
      <c r="C14" s="16" t="s">
        <v>309</v>
      </c>
      <c r="D14" s="16" t="s">
        <v>11</v>
      </c>
      <c r="E14" s="17"/>
    </row>
    <row r="15" spans="1:5" ht="15" customHeight="1">
      <c r="A15" s="16" t="s">
        <v>305</v>
      </c>
      <c r="B15" s="16" t="s">
        <v>146</v>
      </c>
      <c r="C15" s="16" t="s">
        <v>147</v>
      </c>
      <c r="D15" s="16" t="s">
        <v>11</v>
      </c>
      <c r="E15" s="17"/>
    </row>
    <row r="16" spans="1:5" ht="15" customHeight="1">
      <c r="A16" s="16" t="s">
        <v>306</v>
      </c>
      <c r="B16" s="16" t="s">
        <v>302</v>
      </c>
      <c r="C16" s="16" t="s">
        <v>296</v>
      </c>
      <c r="D16" s="16" t="s">
        <v>11</v>
      </c>
      <c r="E16" s="17"/>
    </row>
    <row r="17" spans="1:5" ht="15" customHeight="1">
      <c r="A17" s="16" t="s">
        <v>307</v>
      </c>
      <c r="B17" s="16" t="s">
        <v>302</v>
      </c>
      <c r="C17" s="16" t="s">
        <v>297</v>
      </c>
      <c r="D17" s="16" t="s">
        <v>11</v>
      </c>
      <c r="E17" s="17"/>
    </row>
    <row r="18" spans="1:5" ht="15" customHeight="1">
      <c r="A18" s="16" t="s">
        <v>308</v>
      </c>
      <c r="B18" s="16" t="s">
        <v>302</v>
      </c>
      <c r="C18" s="16" t="s">
        <v>298</v>
      </c>
      <c r="D18" s="16" t="s">
        <v>11</v>
      </c>
      <c r="E18" s="17"/>
    </row>
    <row r="19" spans="1:5" ht="15" customHeight="1">
      <c r="A19" s="16" t="s">
        <v>315</v>
      </c>
      <c r="B19" s="16" t="s">
        <v>302</v>
      </c>
      <c r="C19" s="16" t="s">
        <v>299</v>
      </c>
      <c r="D19" s="16" t="s">
        <v>11</v>
      </c>
      <c r="E19" s="17"/>
    </row>
    <row r="20" spans="1:5" ht="15" customHeight="1">
      <c r="A20" s="16" t="s">
        <v>316</v>
      </c>
      <c r="B20" s="16" t="s">
        <v>302</v>
      </c>
      <c r="C20" s="16" t="s">
        <v>300</v>
      </c>
      <c r="D20" s="16" t="s">
        <v>11</v>
      </c>
      <c r="E20" s="17"/>
    </row>
    <row r="21" spans="1:5" ht="15" customHeight="1">
      <c r="A21" s="16" t="s">
        <v>317</v>
      </c>
      <c r="B21" s="16" t="s">
        <v>302</v>
      </c>
      <c r="C21" s="16" t="s">
        <v>301</v>
      </c>
      <c r="D21" s="16" t="s">
        <v>11</v>
      </c>
      <c r="E21" s="17"/>
    </row>
    <row r="22" spans="1:5" ht="15" customHeight="1">
      <c r="A22" s="16" t="s">
        <v>318</v>
      </c>
      <c r="B22" s="16" t="s">
        <v>302</v>
      </c>
      <c r="C22" s="16" t="s">
        <v>314</v>
      </c>
      <c r="D22" s="16" t="s">
        <v>24</v>
      </c>
      <c r="E22" s="17"/>
    </row>
    <row r="23" spans="1:5" ht="15" customHeight="1">
      <c r="A23" s="16" t="s">
        <v>319</v>
      </c>
      <c r="B23" s="16" t="s">
        <v>302</v>
      </c>
      <c r="C23" s="16" t="s">
        <v>313</v>
      </c>
      <c r="D23" s="16" t="s">
        <v>24</v>
      </c>
      <c r="E23" s="17"/>
    </row>
    <row r="24" spans="1:5" ht="15" customHeight="1">
      <c r="A24" s="16" t="s">
        <v>342</v>
      </c>
      <c r="B24" s="16" t="s">
        <v>302</v>
      </c>
      <c r="C24" s="16" t="s">
        <v>339</v>
      </c>
      <c r="D24" s="16" t="s">
        <v>11</v>
      </c>
      <c r="E24" s="17"/>
    </row>
    <row r="25" spans="1:5" ht="15" customHeight="1">
      <c r="A25" s="16" t="s">
        <v>343</v>
      </c>
      <c r="B25" s="16" t="s">
        <v>302</v>
      </c>
      <c r="C25" s="16" t="s">
        <v>340</v>
      </c>
      <c r="D25" s="16" t="s">
        <v>11</v>
      </c>
      <c r="E25" s="17"/>
    </row>
    <row r="26" spans="1:5" ht="15" customHeight="1">
      <c r="A26" s="16" t="s">
        <v>344</v>
      </c>
      <c r="B26" s="16" t="s">
        <v>302</v>
      </c>
      <c r="C26" s="16" t="s">
        <v>341</v>
      </c>
      <c r="D26" s="16" t="s">
        <v>11</v>
      </c>
      <c r="E26" s="17"/>
    </row>
    <row r="27" spans="1:5" ht="15" customHeight="1">
      <c r="A27" s="27"/>
      <c r="B27" s="27"/>
      <c r="C27" s="27"/>
      <c r="D27" s="27"/>
      <c r="E27" s="28"/>
    </row>
    <row r="28" spans="1:5" ht="15" customHeight="1">
      <c r="A28" s="27"/>
      <c r="B28" s="27"/>
      <c r="C28" s="27"/>
      <c r="D28" s="27"/>
      <c r="E28" s="28"/>
    </row>
    <row r="30" spans="1:5" ht="17.25" customHeight="1">
      <c r="A30" s="74" t="s">
        <v>148</v>
      </c>
      <c r="B30" s="59"/>
      <c r="C30" s="59"/>
      <c r="D30" s="59"/>
      <c r="E30" s="59"/>
    </row>
    <row r="31" spans="1:5" ht="15" customHeight="1">
      <c r="A31" s="69" t="s">
        <v>149</v>
      </c>
      <c r="B31" s="59"/>
      <c r="C31" s="59"/>
      <c r="D31" s="59"/>
      <c r="E31" s="59"/>
    </row>
    <row r="32" spans="1:5" ht="15" customHeight="1">
      <c r="A32" s="69" t="s">
        <v>150</v>
      </c>
      <c r="B32" s="59"/>
      <c r="C32" s="59"/>
      <c r="D32" s="59"/>
      <c r="E32" s="59"/>
    </row>
    <row r="33" spans="1:5" ht="15" customHeight="1">
      <c r="A33" s="69" t="s">
        <v>151</v>
      </c>
      <c r="B33" s="59"/>
      <c r="C33" s="59"/>
      <c r="D33" s="59"/>
      <c r="E33" s="59"/>
    </row>
    <row r="34" spans="1:5" ht="15" customHeight="1">
      <c r="A34" s="69" t="s">
        <v>152</v>
      </c>
      <c r="B34" s="59"/>
      <c r="C34" s="59"/>
      <c r="D34" s="59"/>
      <c r="E34" s="59"/>
    </row>
    <row r="36" spans="1:5" ht="17.25" customHeight="1">
      <c r="A36" s="73" t="s">
        <v>153</v>
      </c>
      <c r="B36" s="59"/>
      <c r="C36" s="59"/>
      <c r="D36" s="59"/>
      <c r="E36" s="59"/>
    </row>
    <row r="37" spans="1:5" ht="13.5" customHeight="1">
      <c r="A37" s="69" t="s">
        <v>154</v>
      </c>
      <c r="B37" s="59"/>
      <c r="C37" s="59"/>
      <c r="D37" s="59"/>
      <c r="E37" s="59"/>
    </row>
  </sheetData>
  <mergeCells count="9">
    <mergeCell ref="A33:E33"/>
    <mergeCell ref="A34:E34"/>
    <mergeCell ref="A36:E36"/>
    <mergeCell ref="A37:E37"/>
    <mergeCell ref="A1:E1"/>
    <mergeCell ref="A2:E2"/>
    <mergeCell ref="A30:E30"/>
    <mergeCell ref="A31:E31"/>
    <mergeCell ref="A32:E32"/>
  </mergeCells>
  <phoneticPr fontId="10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20D4-C1F8-990B-D58B-538F0CF3B4D8}">
  <dimension ref="A1:E52"/>
  <sheetViews>
    <sheetView workbookViewId="0">
      <selection activeCell="C21" sqref="C21"/>
    </sheetView>
  </sheetViews>
  <sheetFormatPr baseColWidth="10" defaultColWidth="8.83203125" defaultRowHeight="15" customHeight="1"/>
  <cols>
    <col min="1" max="1" width="12.83203125" customWidth="1"/>
    <col min="2" max="2" width="19.33203125" customWidth="1"/>
    <col min="3" max="3" width="42.83203125" customWidth="1"/>
    <col min="4" max="4" width="12.83203125" customWidth="1"/>
    <col min="5" max="5" width="21.5" customWidth="1"/>
  </cols>
  <sheetData>
    <row r="1" spans="1:5" ht="19.5" customHeight="1">
      <c r="A1" s="66" t="s">
        <v>155</v>
      </c>
      <c r="B1" s="59"/>
      <c r="C1" s="59"/>
      <c r="D1" s="59"/>
      <c r="E1" s="59"/>
    </row>
    <row r="2" spans="1:5" ht="15" customHeight="1">
      <c r="A2" s="67" t="s">
        <v>156</v>
      </c>
      <c r="B2" s="59"/>
      <c r="C2" s="59"/>
      <c r="D2" s="59"/>
      <c r="E2" s="59"/>
    </row>
    <row r="4" spans="1:5" ht="17.25" customHeight="1">
      <c r="A4" s="18" t="s">
        <v>74</v>
      </c>
      <c r="B4" s="18" t="s">
        <v>157</v>
      </c>
      <c r="C4" s="18" t="s">
        <v>76</v>
      </c>
      <c r="D4" s="18" t="s">
        <v>4</v>
      </c>
      <c r="E4" s="19" t="s">
        <v>77</v>
      </c>
    </row>
    <row r="5" spans="1:5" ht="15" customHeight="1">
      <c r="A5" s="8" t="s">
        <v>158</v>
      </c>
      <c r="B5" s="8" t="s">
        <v>159</v>
      </c>
      <c r="C5" s="8" t="s">
        <v>160</v>
      </c>
      <c r="D5" s="8" t="s">
        <v>9</v>
      </c>
      <c r="E5" s="9"/>
    </row>
    <row r="6" spans="1:5" ht="15" customHeight="1">
      <c r="A6" s="8" t="s">
        <v>54</v>
      </c>
      <c r="B6" s="8" t="s">
        <v>159</v>
      </c>
      <c r="C6" s="8" t="s">
        <v>161</v>
      </c>
      <c r="D6" s="8" t="s">
        <v>11</v>
      </c>
      <c r="E6" s="9"/>
    </row>
    <row r="7" spans="1:5" ht="15" customHeight="1">
      <c r="A7" s="8" t="s">
        <v>162</v>
      </c>
      <c r="B7" s="16" t="s">
        <v>159</v>
      </c>
      <c r="C7" s="16" t="s">
        <v>247</v>
      </c>
      <c r="D7" s="8" t="s">
        <v>11</v>
      </c>
      <c r="E7" s="17"/>
    </row>
    <row r="8" spans="1:5" ht="15" customHeight="1">
      <c r="A8" s="8" t="s">
        <v>164</v>
      </c>
      <c r="B8" s="8" t="s">
        <v>240</v>
      </c>
      <c r="C8" s="8" t="s">
        <v>163</v>
      </c>
      <c r="D8" s="8" t="s">
        <v>11</v>
      </c>
      <c r="E8" s="9"/>
    </row>
    <row r="9" spans="1:5" ht="15" customHeight="1">
      <c r="A9" s="8" t="s">
        <v>57</v>
      </c>
      <c r="B9" s="8" t="s">
        <v>240</v>
      </c>
      <c r="C9" s="16" t="s">
        <v>245</v>
      </c>
      <c r="D9" s="16" t="s">
        <v>24</v>
      </c>
      <c r="E9" s="17"/>
    </row>
    <row r="10" spans="1:5" ht="15" customHeight="1">
      <c r="A10" s="8" t="s">
        <v>167</v>
      </c>
      <c r="B10" s="16" t="s">
        <v>240</v>
      </c>
      <c r="C10" s="16" t="s">
        <v>247</v>
      </c>
      <c r="D10" s="8" t="s">
        <v>11</v>
      </c>
      <c r="E10" s="17"/>
    </row>
    <row r="11" spans="1:5" ht="15" customHeight="1">
      <c r="A11" s="8" t="s">
        <v>217</v>
      </c>
      <c r="B11" s="8" t="s">
        <v>239</v>
      </c>
      <c r="C11" s="8" t="s">
        <v>163</v>
      </c>
      <c r="D11" s="8" t="s">
        <v>11</v>
      </c>
      <c r="E11" s="9"/>
    </row>
    <row r="12" spans="1:5" ht="15" customHeight="1">
      <c r="A12" s="16" t="s">
        <v>218</v>
      </c>
      <c r="B12" s="8" t="s">
        <v>165</v>
      </c>
      <c r="C12" s="8" t="s">
        <v>215</v>
      </c>
      <c r="D12" s="8" t="s">
        <v>11</v>
      </c>
      <c r="E12" s="9"/>
    </row>
    <row r="13" spans="1:5" ht="15" customHeight="1">
      <c r="A13" s="16" t="s">
        <v>219</v>
      </c>
      <c r="B13" s="8" t="s">
        <v>166</v>
      </c>
      <c r="C13" s="8" t="s">
        <v>228</v>
      </c>
      <c r="D13" s="8" t="s">
        <v>11</v>
      </c>
      <c r="E13" s="9"/>
    </row>
    <row r="14" spans="1:5" ht="15" customHeight="1">
      <c r="A14" s="16" t="s">
        <v>220</v>
      </c>
      <c r="B14" s="8" t="s">
        <v>168</v>
      </c>
      <c r="C14" s="8" t="s">
        <v>169</v>
      </c>
      <c r="D14" s="8" t="s">
        <v>11</v>
      </c>
      <c r="E14" s="9"/>
    </row>
    <row r="15" spans="1:5" ht="15" customHeight="1">
      <c r="A15" s="16" t="s">
        <v>241</v>
      </c>
      <c r="B15" s="8" t="s">
        <v>248</v>
      </c>
      <c r="C15" s="8" t="s">
        <v>221</v>
      </c>
      <c r="D15" s="8" t="s">
        <v>11</v>
      </c>
      <c r="E15" s="9"/>
    </row>
    <row r="16" spans="1:5" ht="15" customHeight="1">
      <c r="A16" s="16" t="s">
        <v>242</v>
      </c>
      <c r="B16" s="16" t="s">
        <v>248</v>
      </c>
      <c r="C16" s="16" t="s">
        <v>246</v>
      </c>
      <c r="D16" s="16" t="s">
        <v>24</v>
      </c>
      <c r="E16" s="17"/>
    </row>
    <row r="17" spans="1:5" ht="15" customHeight="1">
      <c r="A17" s="16" t="s">
        <v>243</v>
      </c>
      <c r="B17" s="16" t="s">
        <v>248</v>
      </c>
      <c r="C17" s="16" t="s">
        <v>247</v>
      </c>
      <c r="D17" s="8" t="s">
        <v>11</v>
      </c>
      <c r="E17" s="17"/>
    </row>
    <row r="18" spans="1:5" ht="15" customHeight="1">
      <c r="A18" s="16" t="s">
        <v>244</v>
      </c>
      <c r="B18" s="8" t="s">
        <v>222</v>
      </c>
      <c r="C18" s="8" t="s">
        <v>223</v>
      </c>
      <c r="D18" s="8" t="s">
        <v>11</v>
      </c>
      <c r="E18" s="9"/>
    </row>
    <row r="19" spans="1:5" ht="15" customHeight="1">
      <c r="A19" s="16" t="s">
        <v>249</v>
      </c>
      <c r="B19" s="8" t="s">
        <v>222</v>
      </c>
      <c r="C19" s="8" t="s">
        <v>224</v>
      </c>
      <c r="D19" s="8" t="s">
        <v>11</v>
      </c>
      <c r="E19" s="9"/>
    </row>
    <row r="20" spans="1:5" ht="15" customHeight="1">
      <c r="A20" s="16" t="s">
        <v>250</v>
      </c>
      <c r="B20" s="8" t="s">
        <v>225</v>
      </c>
      <c r="C20" s="8" t="s">
        <v>226</v>
      </c>
      <c r="D20" s="8" t="s">
        <v>11</v>
      </c>
      <c r="E20" s="9"/>
    </row>
    <row r="21" spans="1:5" ht="15" customHeight="1">
      <c r="A21" s="16" t="s">
        <v>251</v>
      </c>
      <c r="B21" s="8" t="s">
        <v>227</v>
      </c>
      <c r="C21" s="8" t="s">
        <v>229</v>
      </c>
      <c r="D21" s="8" t="s">
        <v>11</v>
      </c>
      <c r="E21" s="9"/>
    </row>
    <row r="22" spans="1:5" ht="15" customHeight="1">
      <c r="A22" s="16" t="s">
        <v>252</v>
      </c>
      <c r="B22" s="8" t="s">
        <v>230</v>
      </c>
      <c r="C22" s="8" t="s">
        <v>231</v>
      </c>
      <c r="D22" s="8" t="s">
        <v>11</v>
      </c>
      <c r="E22" s="9"/>
    </row>
    <row r="23" spans="1:5" ht="15" customHeight="1">
      <c r="A23" s="16" t="s">
        <v>253</v>
      </c>
      <c r="B23" s="8" t="s">
        <v>238</v>
      </c>
      <c r="C23" s="8" t="s">
        <v>232</v>
      </c>
      <c r="D23" s="8" t="s">
        <v>11</v>
      </c>
      <c r="E23" s="17"/>
    </row>
    <row r="24" spans="1:5" ht="15" customHeight="1">
      <c r="A24" s="16" t="s">
        <v>268</v>
      </c>
      <c r="B24" s="8" t="s">
        <v>238</v>
      </c>
      <c r="C24" s="16" t="s">
        <v>254</v>
      </c>
      <c r="D24" s="8" t="s">
        <v>11</v>
      </c>
      <c r="E24" s="17"/>
    </row>
    <row r="25" spans="1:5" ht="15" customHeight="1">
      <c r="A25" s="16" t="s">
        <v>269</v>
      </c>
      <c r="B25" s="8" t="s">
        <v>238</v>
      </c>
      <c r="C25" s="16" t="s">
        <v>255</v>
      </c>
      <c r="D25" s="8" t="s">
        <v>11</v>
      </c>
      <c r="E25" s="17"/>
    </row>
    <row r="26" spans="1:5" ht="15" customHeight="1">
      <c r="A26" s="16" t="s">
        <v>270</v>
      </c>
      <c r="B26" s="8" t="s">
        <v>238</v>
      </c>
      <c r="C26" s="16" t="s">
        <v>256</v>
      </c>
      <c r="D26" s="8" t="s">
        <v>11</v>
      </c>
      <c r="E26" s="17"/>
    </row>
    <row r="27" spans="1:5" ht="15" customHeight="1">
      <c r="A27" s="16" t="s">
        <v>271</v>
      </c>
      <c r="B27" s="8" t="s">
        <v>238</v>
      </c>
      <c r="C27" s="16" t="s">
        <v>257</v>
      </c>
      <c r="D27" s="8" t="s">
        <v>11</v>
      </c>
      <c r="E27" s="17"/>
    </row>
    <row r="28" spans="1:5" ht="15" customHeight="1">
      <c r="A28" s="16" t="s">
        <v>272</v>
      </c>
      <c r="B28" s="8" t="s">
        <v>238</v>
      </c>
      <c r="C28" s="16" t="s">
        <v>258</v>
      </c>
      <c r="D28" s="8" t="s">
        <v>11</v>
      </c>
      <c r="E28" s="17"/>
    </row>
    <row r="29" spans="1:5" ht="15" customHeight="1">
      <c r="A29" s="16" t="s">
        <v>273</v>
      </c>
      <c r="B29" s="8" t="s">
        <v>267</v>
      </c>
      <c r="C29" s="8" t="s">
        <v>259</v>
      </c>
      <c r="D29" s="8" t="s">
        <v>11</v>
      </c>
      <c r="E29" s="9"/>
    </row>
    <row r="30" spans="1:5" ht="15" customHeight="1">
      <c r="A30" s="16" t="s">
        <v>274</v>
      </c>
      <c r="B30" s="8" t="s">
        <v>267</v>
      </c>
      <c r="C30" s="8" t="s">
        <v>260</v>
      </c>
      <c r="D30" s="8" t="s">
        <v>11</v>
      </c>
      <c r="E30" s="17"/>
    </row>
    <row r="31" spans="1:5" ht="15" customHeight="1">
      <c r="A31" s="16" t="s">
        <v>275</v>
      </c>
      <c r="B31" s="8" t="s">
        <v>267</v>
      </c>
      <c r="C31" s="8" t="s">
        <v>261</v>
      </c>
      <c r="D31" s="8" t="s">
        <v>11</v>
      </c>
      <c r="E31" s="17"/>
    </row>
    <row r="32" spans="1:5" ht="15" customHeight="1">
      <c r="A32" s="16" t="s">
        <v>276</v>
      </c>
      <c r="B32" s="8" t="s">
        <v>267</v>
      </c>
      <c r="C32" s="16" t="s">
        <v>262</v>
      </c>
      <c r="D32" s="8" t="s">
        <v>11</v>
      </c>
      <c r="E32" s="17"/>
    </row>
    <row r="33" spans="1:5" ht="15" customHeight="1">
      <c r="A33" s="16" t="s">
        <v>277</v>
      </c>
      <c r="B33" s="8" t="s">
        <v>267</v>
      </c>
      <c r="C33" s="16" t="s">
        <v>263</v>
      </c>
      <c r="D33" s="8" t="s">
        <v>11</v>
      </c>
      <c r="E33" s="17"/>
    </row>
    <row r="34" spans="1:5" ht="15" customHeight="1">
      <c r="A34" s="16" t="s">
        <v>278</v>
      </c>
      <c r="B34" s="8" t="s">
        <v>267</v>
      </c>
      <c r="C34" s="16" t="s">
        <v>264</v>
      </c>
      <c r="D34" s="8" t="s">
        <v>11</v>
      </c>
      <c r="E34" s="17"/>
    </row>
    <row r="35" spans="1:5" ht="15" customHeight="1">
      <c r="A35" s="16" t="s">
        <v>279</v>
      </c>
      <c r="B35" s="8" t="s">
        <v>238</v>
      </c>
      <c r="C35" s="16" t="s">
        <v>265</v>
      </c>
      <c r="D35" s="8" t="s">
        <v>11</v>
      </c>
      <c r="E35" s="17"/>
    </row>
    <row r="36" spans="1:5" ht="15" customHeight="1">
      <c r="A36" s="16" t="s">
        <v>280</v>
      </c>
      <c r="B36" s="8" t="s">
        <v>238</v>
      </c>
      <c r="C36" s="16" t="s">
        <v>266</v>
      </c>
      <c r="D36" s="8" t="s">
        <v>11</v>
      </c>
      <c r="E36" s="17"/>
    </row>
    <row r="37" spans="1:5" ht="15" customHeight="1">
      <c r="A37" s="16" t="s">
        <v>283</v>
      </c>
      <c r="B37" s="16" t="s">
        <v>281</v>
      </c>
      <c r="C37" s="16" t="s">
        <v>282</v>
      </c>
      <c r="D37" s="16" t="s">
        <v>11</v>
      </c>
      <c r="E37" s="17"/>
    </row>
    <row r="38" spans="1:5" ht="15" customHeight="1">
      <c r="A38" s="16" t="s">
        <v>284</v>
      </c>
      <c r="B38" s="16" t="s">
        <v>281</v>
      </c>
      <c r="C38" s="16" t="s">
        <v>285</v>
      </c>
      <c r="D38" s="16" t="s">
        <v>11</v>
      </c>
      <c r="E38" s="17"/>
    </row>
    <row r="39" spans="1:5" ht="15" customHeight="1">
      <c r="A39" s="30" t="s">
        <v>288</v>
      </c>
      <c r="B39" s="30" t="s">
        <v>289</v>
      </c>
      <c r="C39" s="30" t="s">
        <v>290</v>
      </c>
      <c r="D39" s="8" t="s">
        <v>11</v>
      </c>
      <c r="E39" s="9"/>
    </row>
    <row r="40" spans="1:5" ht="15" customHeight="1">
      <c r="A40" s="8" t="s">
        <v>291</v>
      </c>
      <c r="B40" s="8" t="s">
        <v>287</v>
      </c>
      <c r="C40" s="8" t="s">
        <v>286</v>
      </c>
      <c r="D40" s="8" t="s">
        <v>11</v>
      </c>
      <c r="E40" s="9"/>
    </row>
    <row r="41" spans="1:5" ht="15" customHeight="1">
      <c r="A41" s="16" t="s">
        <v>332</v>
      </c>
      <c r="B41" s="27" t="s">
        <v>331</v>
      </c>
      <c r="C41" s="16" t="s">
        <v>328</v>
      </c>
      <c r="D41" s="8" t="s">
        <v>11</v>
      </c>
      <c r="E41" s="9"/>
    </row>
    <row r="42" spans="1:5" ht="15" customHeight="1">
      <c r="A42" s="16" t="s">
        <v>333</v>
      </c>
      <c r="B42" s="27" t="s">
        <v>331</v>
      </c>
      <c r="C42" s="16" t="s">
        <v>329</v>
      </c>
      <c r="D42" s="8" t="s">
        <v>11</v>
      </c>
      <c r="E42" s="9"/>
    </row>
    <row r="43" spans="1:5" ht="15" customHeight="1">
      <c r="A43" s="16" t="s">
        <v>334</v>
      </c>
      <c r="B43" s="27" t="s">
        <v>331</v>
      </c>
      <c r="C43" s="16" t="s">
        <v>330</v>
      </c>
      <c r="D43" s="8" t="s">
        <v>11</v>
      </c>
      <c r="E43" s="9"/>
    </row>
    <row r="44" spans="1:5" ht="15" customHeight="1">
      <c r="A44" s="16" t="s">
        <v>334</v>
      </c>
      <c r="B44" s="27" t="s">
        <v>238</v>
      </c>
      <c r="C44" s="16" t="s">
        <v>337</v>
      </c>
      <c r="D44" s="8" t="s">
        <v>338</v>
      </c>
      <c r="E44" s="9"/>
    </row>
    <row r="46" spans="1:5" ht="15" customHeight="1">
      <c r="A46" s="74" t="s">
        <v>170</v>
      </c>
      <c r="B46" s="59"/>
      <c r="C46" s="59"/>
      <c r="D46" s="59"/>
      <c r="E46" s="59"/>
    </row>
    <row r="47" spans="1:5" ht="15" customHeight="1">
      <c r="A47" s="10" t="s">
        <v>171</v>
      </c>
    </row>
    <row r="48" spans="1:5" ht="15" customHeight="1">
      <c r="A48" s="10" t="s">
        <v>172</v>
      </c>
    </row>
    <row r="49" spans="1:1" ht="15" customHeight="1">
      <c r="A49" s="10" t="s">
        <v>173</v>
      </c>
    </row>
    <row r="50" spans="1:1" ht="15" customHeight="1">
      <c r="A50" s="10" t="s">
        <v>216</v>
      </c>
    </row>
    <row r="51" spans="1:1" ht="15" customHeight="1">
      <c r="A51" s="10" t="s">
        <v>174</v>
      </c>
    </row>
    <row r="52" spans="1:1" ht="15" customHeight="1">
      <c r="A52" s="10" t="s">
        <v>175</v>
      </c>
    </row>
  </sheetData>
  <mergeCells count="3">
    <mergeCell ref="A1:E1"/>
    <mergeCell ref="A2:E2"/>
    <mergeCell ref="A46:E46"/>
  </mergeCells>
  <phoneticPr fontId="10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F63B-7B1C-3238-CC98-6C6604A4D2AE}">
  <dimension ref="A1:E24"/>
  <sheetViews>
    <sheetView workbookViewId="0">
      <selection activeCell="A30" sqref="A30"/>
    </sheetView>
  </sheetViews>
  <sheetFormatPr baseColWidth="10" defaultColWidth="8.83203125" defaultRowHeight="15" customHeight="1"/>
  <cols>
    <col min="1" max="1" width="37.5" bestFit="1" customWidth="1"/>
    <col min="2" max="2" width="17.1640625" bestFit="1" customWidth="1"/>
    <col min="3" max="3" width="6.6640625" bestFit="1" customWidth="1"/>
    <col min="4" max="4" width="8.6640625" bestFit="1" customWidth="1"/>
    <col min="5" max="5" width="13.5" bestFit="1" customWidth="1"/>
  </cols>
  <sheetData>
    <row r="1" spans="1:5" ht="19.5" customHeight="1">
      <c r="A1" s="75" t="s">
        <v>176</v>
      </c>
      <c r="B1" s="59"/>
      <c r="C1" s="59"/>
      <c r="D1" s="59"/>
      <c r="E1" s="59"/>
    </row>
    <row r="2" spans="1:5" ht="15" customHeight="1">
      <c r="A2" s="67" t="s">
        <v>177</v>
      </c>
      <c r="B2" s="59"/>
      <c r="C2" s="59"/>
      <c r="D2" s="59"/>
      <c r="E2" s="59"/>
    </row>
    <row r="4" spans="1:5" ht="15.75" customHeight="1">
      <c r="A4" s="20" t="s">
        <v>74</v>
      </c>
      <c r="B4" s="20" t="s">
        <v>178</v>
      </c>
      <c r="C4" s="20" t="s">
        <v>4</v>
      </c>
      <c r="D4" s="20" t="s">
        <v>179</v>
      </c>
      <c r="E4" s="20" t="s">
        <v>77</v>
      </c>
    </row>
    <row r="5" spans="1:5" ht="15" customHeight="1">
      <c r="A5" s="8" t="s">
        <v>65</v>
      </c>
      <c r="B5" s="8" t="s">
        <v>63</v>
      </c>
      <c r="C5" s="8" t="s">
        <v>180</v>
      </c>
      <c r="D5" s="8" t="s">
        <v>181</v>
      </c>
      <c r="E5" s="9"/>
    </row>
    <row r="6" spans="1:5" ht="15" customHeight="1">
      <c r="A6" s="8" t="s">
        <v>67</v>
      </c>
      <c r="B6" s="8" t="s">
        <v>197</v>
      </c>
      <c r="C6" s="8" t="s">
        <v>180</v>
      </c>
      <c r="D6" s="8" t="s">
        <v>182</v>
      </c>
      <c r="E6" s="9"/>
    </row>
    <row r="7" spans="1:5" ht="15" customHeight="1">
      <c r="A7" s="8" t="s">
        <v>183</v>
      </c>
      <c r="B7" s="8" t="s">
        <v>195</v>
      </c>
      <c r="C7" s="8" t="s">
        <v>180</v>
      </c>
      <c r="D7" s="8" t="s">
        <v>184</v>
      </c>
      <c r="E7" s="9"/>
    </row>
    <row r="8" spans="1:5" ht="15" customHeight="1">
      <c r="A8" s="8" t="s">
        <v>185</v>
      </c>
      <c r="B8" s="22" t="s">
        <v>196</v>
      </c>
      <c r="C8" s="22" t="s">
        <v>180</v>
      </c>
      <c r="D8" s="22" t="s">
        <v>184</v>
      </c>
      <c r="E8" s="23"/>
    </row>
    <row r="9" spans="1:5" ht="15" customHeight="1">
      <c r="A9" s="21" t="s">
        <v>206</v>
      </c>
      <c r="B9" s="24" t="s">
        <v>199</v>
      </c>
      <c r="C9" s="24" t="s">
        <v>180</v>
      </c>
      <c r="D9" s="24" t="s">
        <v>186</v>
      </c>
      <c r="E9" s="25"/>
    </row>
    <row r="10" spans="1:5" ht="15" customHeight="1">
      <c r="A10" s="21" t="s">
        <v>207</v>
      </c>
      <c r="B10" s="24" t="s">
        <v>200</v>
      </c>
      <c r="C10" s="24" t="s">
        <v>180</v>
      </c>
      <c r="D10" s="24" t="s">
        <v>184</v>
      </c>
      <c r="E10" s="26"/>
    </row>
    <row r="11" spans="1:5" ht="15" customHeight="1">
      <c r="A11" s="21" t="s">
        <v>208</v>
      </c>
      <c r="B11" s="24" t="s">
        <v>198</v>
      </c>
      <c r="C11" s="24" t="s">
        <v>180</v>
      </c>
      <c r="D11" s="24" t="s">
        <v>184</v>
      </c>
      <c r="E11" s="25"/>
    </row>
    <row r="12" spans="1:5" ht="15" customHeight="1">
      <c r="A12" s="21" t="s">
        <v>209</v>
      </c>
      <c r="B12" s="24" t="s">
        <v>201</v>
      </c>
      <c r="C12" s="24" t="s">
        <v>180</v>
      </c>
      <c r="D12" s="24" t="s">
        <v>214</v>
      </c>
      <c r="E12" s="25"/>
    </row>
    <row r="13" spans="1:5" ht="15" customHeight="1">
      <c r="A13" s="21" t="s">
        <v>210</v>
      </c>
      <c r="B13" s="24" t="s">
        <v>202</v>
      </c>
      <c r="C13" s="24" t="s">
        <v>180</v>
      </c>
      <c r="D13" s="24" t="s">
        <v>184</v>
      </c>
      <c r="E13" s="25"/>
    </row>
    <row r="14" spans="1:5" ht="15" customHeight="1">
      <c r="A14" s="21" t="s">
        <v>211</v>
      </c>
      <c r="B14" s="24" t="s">
        <v>203</v>
      </c>
      <c r="C14" s="24" t="s">
        <v>180</v>
      </c>
      <c r="D14" s="24" t="s">
        <v>184</v>
      </c>
      <c r="E14" s="25"/>
    </row>
    <row r="15" spans="1:5" ht="15" customHeight="1">
      <c r="A15" s="21" t="s">
        <v>212</v>
      </c>
      <c r="B15" s="24" t="s">
        <v>204</v>
      </c>
      <c r="C15" s="24" t="s">
        <v>180</v>
      </c>
      <c r="D15" s="24" t="s">
        <v>184</v>
      </c>
      <c r="E15" s="25"/>
    </row>
    <row r="16" spans="1:5" ht="15" customHeight="1">
      <c r="A16" s="21" t="s">
        <v>213</v>
      </c>
      <c r="B16" s="24" t="s">
        <v>205</v>
      </c>
      <c r="C16" s="24" t="s">
        <v>180</v>
      </c>
      <c r="D16" s="24" t="s">
        <v>184</v>
      </c>
      <c r="E16" s="25"/>
    </row>
    <row r="17" spans="1:5" ht="15" customHeight="1">
      <c r="A17" s="8" t="s">
        <v>70</v>
      </c>
      <c r="B17" s="8" t="s">
        <v>187</v>
      </c>
      <c r="C17" s="8" t="s">
        <v>69</v>
      </c>
      <c r="D17" s="8" t="s">
        <v>188</v>
      </c>
      <c r="E17" s="9"/>
    </row>
    <row r="18" spans="1:5" ht="15" customHeight="1">
      <c r="A18" s="8"/>
      <c r="B18" s="8"/>
      <c r="C18" s="8"/>
      <c r="D18" s="8"/>
      <c r="E18" s="8"/>
    </row>
    <row r="19" spans="1:5" ht="17.25" customHeight="1">
      <c r="A19" s="76" t="s">
        <v>189</v>
      </c>
      <c r="B19" s="59"/>
      <c r="C19" s="59"/>
      <c r="D19" s="59"/>
      <c r="E19" s="59"/>
    </row>
    <row r="20" spans="1:5" ht="15" customHeight="1">
      <c r="A20" t="s">
        <v>190</v>
      </c>
    </row>
    <row r="21" spans="1:5" ht="15" customHeight="1">
      <c r="A21" t="s">
        <v>191</v>
      </c>
    </row>
    <row r="22" spans="1:5" ht="15" customHeight="1">
      <c r="A22" t="s">
        <v>192</v>
      </c>
    </row>
    <row r="23" spans="1:5" ht="15" customHeight="1">
      <c r="A23" t="s">
        <v>193</v>
      </c>
    </row>
    <row r="24" spans="1:5" ht="15" customHeight="1">
      <c r="A24" t="s">
        <v>194</v>
      </c>
    </row>
  </sheetData>
  <mergeCells count="3">
    <mergeCell ref="A1:E1"/>
    <mergeCell ref="A2:E2"/>
    <mergeCell ref="A19:E19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3577-9FD0-5049-A173-0AB23211E778}">
  <dimension ref="A1:N209"/>
  <sheetViews>
    <sheetView workbookViewId="0">
      <selection activeCell="D3" sqref="D3"/>
    </sheetView>
  </sheetViews>
  <sheetFormatPr baseColWidth="10" defaultRowHeight="13"/>
  <cols>
    <col min="1" max="1" width="40.33203125" style="39" customWidth="1"/>
    <col min="2" max="2" width="22.1640625" style="39" customWidth="1"/>
    <col min="3" max="3" width="9" style="39" customWidth="1"/>
    <col min="4" max="4" width="30" style="39" customWidth="1"/>
    <col min="5" max="5" width="23.1640625" style="39" customWidth="1"/>
    <col min="6" max="7" width="17.33203125" style="39" customWidth="1"/>
    <col min="8" max="9" width="22.1640625" style="39" customWidth="1"/>
    <col min="10" max="10" width="21.83203125" style="39" customWidth="1"/>
    <col min="11" max="11" width="10.83203125" style="39"/>
    <col min="12" max="12" width="18" style="39" customWidth="1"/>
    <col min="13" max="13" width="14.83203125" style="39" customWidth="1"/>
    <col min="14" max="14" width="21.33203125" style="39" customWidth="1"/>
    <col min="15" max="257" width="10.83203125" style="39"/>
    <col min="258" max="258" width="40.33203125" style="39" customWidth="1"/>
    <col min="259" max="259" width="22.1640625" style="39" customWidth="1"/>
    <col min="260" max="261" width="9" style="39" customWidth="1"/>
    <col min="262" max="262" width="23.1640625" style="39" customWidth="1"/>
    <col min="263" max="264" width="17.33203125" style="39" customWidth="1"/>
    <col min="265" max="265" width="22.1640625" style="39" customWidth="1"/>
    <col min="266" max="266" width="21.83203125" style="39" customWidth="1"/>
    <col min="267" max="513" width="10.83203125" style="39"/>
    <col min="514" max="514" width="40.33203125" style="39" customWidth="1"/>
    <col min="515" max="515" width="22.1640625" style="39" customWidth="1"/>
    <col min="516" max="517" width="9" style="39" customWidth="1"/>
    <col min="518" max="518" width="23.1640625" style="39" customWidth="1"/>
    <col min="519" max="520" width="17.33203125" style="39" customWidth="1"/>
    <col min="521" max="521" width="22.1640625" style="39" customWidth="1"/>
    <col min="522" max="522" width="21.83203125" style="39" customWidth="1"/>
    <col min="523" max="769" width="10.83203125" style="39"/>
    <col min="770" max="770" width="40.33203125" style="39" customWidth="1"/>
    <col min="771" max="771" width="22.1640625" style="39" customWidth="1"/>
    <col min="772" max="773" width="9" style="39" customWidth="1"/>
    <col min="774" max="774" width="23.1640625" style="39" customWidth="1"/>
    <col min="775" max="776" width="17.33203125" style="39" customWidth="1"/>
    <col min="777" max="777" width="22.1640625" style="39" customWidth="1"/>
    <col min="778" max="778" width="21.83203125" style="39" customWidth="1"/>
    <col min="779" max="1025" width="10.83203125" style="39"/>
    <col min="1026" max="1026" width="40.33203125" style="39" customWidth="1"/>
    <col min="1027" max="1027" width="22.1640625" style="39" customWidth="1"/>
    <col min="1028" max="1029" width="9" style="39" customWidth="1"/>
    <col min="1030" max="1030" width="23.1640625" style="39" customWidth="1"/>
    <col min="1031" max="1032" width="17.33203125" style="39" customWidth="1"/>
    <col min="1033" max="1033" width="22.1640625" style="39" customWidth="1"/>
    <col min="1034" max="1034" width="21.83203125" style="39" customWidth="1"/>
    <col min="1035" max="1281" width="10.83203125" style="39"/>
    <col min="1282" max="1282" width="40.33203125" style="39" customWidth="1"/>
    <col min="1283" max="1283" width="22.1640625" style="39" customWidth="1"/>
    <col min="1284" max="1285" width="9" style="39" customWidth="1"/>
    <col min="1286" max="1286" width="23.1640625" style="39" customWidth="1"/>
    <col min="1287" max="1288" width="17.33203125" style="39" customWidth="1"/>
    <col min="1289" max="1289" width="22.1640625" style="39" customWidth="1"/>
    <col min="1290" max="1290" width="21.83203125" style="39" customWidth="1"/>
    <col min="1291" max="1537" width="10.83203125" style="39"/>
    <col min="1538" max="1538" width="40.33203125" style="39" customWidth="1"/>
    <col min="1539" max="1539" width="22.1640625" style="39" customWidth="1"/>
    <col min="1540" max="1541" width="9" style="39" customWidth="1"/>
    <col min="1542" max="1542" width="23.1640625" style="39" customWidth="1"/>
    <col min="1543" max="1544" width="17.33203125" style="39" customWidth="1"/>
    <col min="1545" max="1545" width="22.1640625" style="39" customWidth="1"/>
    <col min="1546" max="1546" width="21.83203125" style="39" customWidth="1"/>
    <col min="1547" max="1793" width="10.83203125" style="39"/>
    <col min="1794" max="1794" width="40.33203125" style="39" customWidth="1"/>
    <col min="1795" max="1795" width="22.1640625" style="39" customWidth="1"/>
    <col min="1796" max="1797" width="9" style="39" customWidth="1"/>
    <col min="1798" max="1798" width="23.1640625" style="39" customWidth="1"/>
    <col min="1799" max="1800" width="17.33203125" style="39" customWidth="1"/>
    <col min="1801" max="1801" width="22.1640625" style="39" customWidth="1"/>
    <col min="1802" max="1802" width="21.83203125" style="39" customWidth="1"/>
    <col min="1803" max="2049" width="10.83203125" style="39"/>
    <col min="2050" max="2050" width="40.33203125" style="39" customWidth="1"/>
    <col min="2051" max="2051" width="22.1640625" style="39" customWidth="1"/>
    <col min="2052" max="2053" width="9" style="39" customWidth="1"/>
    <col min="2054" max="2054" width="23.1640625" style="39" customWidth="1"/>
    <col min="2055" max="2056" width="17.33203125" style="39" customWidth="1"/>
    <col min="2057" max="2057" width="22.1640625" style="39" customWidth="1"/>
    <col min="2058" max="2058" width="21.83203125" style="39" customWidth="1"/>
    <col min="2059" max="2305" width="10.83203125" style="39"/>
    <col min="2306" max="2306" width="40.33203125" style="39" customWidth="1"/>
    <col min="2307" max="2307" width="22.1640625" style="39" customWidth="1"/>
    <col min="2308" max="2309" width="9" style="39" customWidth="1"/>
    <col min="2310" max="2310" width="23.1640625" style="39" customWidth="1"/>
    <col min="2311" max="2312" width="17.33203125" style="39" customWidth="1"/>
    <col min="2313" max="2313" width="22.1640625" style="39" customWidth="1"/>
    <col min="2314" max="2314" width="21.83203125" style="39" customWidth="1"/>
    <col min="2315" max="2561" width="10.83203125" style="39"/>
    <col min="2562" max="2562" width="40.33203125" style="39" customWidth="1"/>
    <col min="2563" max="2563" width="22.1640625" style="39" customWidth="1"/>
    <col min="2564" max="2565" width="9" style="39" customWidth="1"/>
    <col min="2566" max="2566" width="23.1640625" style="39" customWidth="1"/>
    <col min="2567" max="2568" width="17.33203125" style="39" customWidth="1"/>
    <col min="2569" max="2569" width="22.1640625" style="39" customWidth="1"/>
    <col min="2570" max="2570" width="21.83203125" style="39" customWidth="1"/>
    <col min="2571" max="2817" width="10.83203125" style="39"/>
    <col min="2818" max="2818" width="40.33203125" style="39" customWidth="1"/>
    <col min="2819" max="2819" width="22.1640625" style="39" customWidth="1"/>
    <col min="2820" max="2821" width="9" style="39" customWidth="1"/>
    <col min="2822" max="2822" width="23.1640625" style="39" customWidth="1"/>
    <col min="2823" max="2824" width="17.33203125" style="39" customWidth="1"/>
    <col min="2825" max="2825" width="22.1640625" style="39" customWidth="1"/>
    <col min="2826" max="2826" width="21.83203125" style="39" customWidth="1"/>
    <col min="2827" max="3073" width="10.83203125" style="39"/>
    <col min="3074" max="3074" width="40.33203125" style="39" customWidth="1"/>
    <col min="3075" max="3075" width="22.1640625" style="39" customWidth="1"/>
    <col min="3076" max="3077" width="9" style="39" customWidth="1"/>
    <col min="3078" max="3078" width="23.1640625" style="39" customWidth="1"/>
    <col min="3079" max="3080" width="17.33203125" style="39" customWidth="1"/>
    <col min="3081" max="3081" width="22.1640625" style="39" customWidth="1"/>
    <col min="3082" max="3082" width="21.83203125" style="39" customWidth="1"/>
    <col min="3083" max="3329" width="10.83203125" style="39"/>
    <col min="3330" max="3330" width="40.33203125" style="39" customWidth="1"/>
    <col min="3331" max="3331" width="22.1640625" style="39" customWidth="1"/>
    <col min="3332" max="3333" width="9" style="39" customWidth="1"/>
    <col min="3334" max="3334" width="23.1640625" style="39" customWidth="1"/>
    <col min="3335" max="3336" width="17.33203125" style="39" customWidth="1"/>
    <col min="3337" max="3337" width="22.1640625" style="39" customWidth="1"/>
    <col min="3338" max="3338" width="21.83203125" style="39" customWidth="1"/>
    <col min="3339" max="3585" width="10.83203125" style="39"/>
    <col min="3586" max="3586" width="40.33203125" style="39" customWidth="1"/>
    <col min="3587" max="3587" width="22.1640625" style="39" customWidth="1"/>
    <col min="3588" max="3589" width="9" style="39" customWidth="1"/>
    <col min="3590" max="3590" width="23.1640625" style="39" customWidth="1"/>
    <col min="3591" max="3592" width="17.33203125" style="39" customWidth="1"/>
    <col min="3593" max="3593" width="22.1640625" style="39" customWidth="1"/>
    <col min="3594" max="3594" width="21.83203125" style="39" customWidth="1"/>
    <col min="3595" max="3841" width="10.83203125" style="39"/>
    <col min="3842" max="3842" width="40.33203125" style="39" customWidth="1"/>
    <col min="3843" max="3843" width="22.1640625" style="39" customWidth="1"/>
    <col min="3844" max="3845" width="9" style="39" customWidth="1"/>
    <col min="3846" max="3846" width="23.1640625" style="39" customWidth="1"/>
    <col min="3847" max="3848" width="17.33203125" style="39" customWidth="1"/>
    <col min="3849" max="3849" width="22.1640625" style="39" customWidth="1"/>
    <col min="3850" max="3850" width="21.83203125" style="39" customWidth="1"/>
    <col min="3851" max="4097" width="10.83203125" style="39"/>
    <col min="4098" max="4098" width="40.33203125" style="39" customWidth="1"/>
    <col min="4099" max="4099" width="22.1640625" style="39" customWidth="1"/>
    <col min="4100" max="4101" width="9" style="39" customWidth="1"/>
    <col min="4102" max="4102" width="23.1640625" style="39" customWidth="1"/>
    <col min="4103" max="4104" width="17.33203125" style="39" customWidth="1"/>
    <col min="4105" max="4105" width="22.1640625" style="39" customWidth="1"/>
    <col min="4106" max="4106" width="21.83203125" style="39" customWidth="1"/>
    <col min="4107" max="4353" width="10.83203125" style="39"/>
    <col min="4354" max="4354" width="40.33203125" style="39" customWidth="1"/>
    <col min="4355" max="4355" width="22.1640625" style="39" customWidth="1"/>
    <col min="4356" max="4357" width="9" style="39" customWidth="1"/>
    <col min="4358" max="4358" width="23.1640625" style="39" customWidth="1"/>
    <col min="4359" max="4360" width="17.33203125" style="39" customWidth="1"/>
    <col min="4361" max="4361" width="22.1640625" style="39" customWidth="1"/>
    <col min="4362" max="4362" width="21.83203125" style="39" customWidth="1"/>
    <col min="4363" max="4609" width="10.83203125" style="39"/>
    <col min="4610" max="4610" width="40.33203125" style="39" customWidth="1"/>
    <col min="4611" max="4611" width="22.1640625" style="39" customWidth="1"/>
    <col min="4612" max="4613" width="9" style="39" customWidth="1"/>
    <col min="4614" max="4614" width="23.1640625" style="39" customWidth="1"/>
    <col min="4615" max="4616" width="17.33203125" style="39" customWidth="1"/>
    <col min="4617" max="4617" width="22.1640625" style="39" customWidth="1"/>
    <col min="4618" max="4618" width="21.83203125" style="39" customWidth="1"/>
    <col min="4619" max="4865" width="10.83203125" style="39"/>
    <col min="4866" max="4866" width="40.33203125" style="39" customWidth="1"/>
    <col min="4867" max="4867" width="22.1640625" style="39" customWidth="1"/>
    <col min="4868" max="4869" width="9" style="39" customWidth="1"/>
    <col min="4870" max="4870" width="23.1640625" style="39" customWidth="1"/>
    <col min="4871" max="4872" width="17.33203125" style="39" customWidth="1"/>
    <col min="4873" max="4873" width="22.1640625" style="39" customWidth="1"/>
    <col min="4874" max="4874" width="21.83203125" style="39" customWidth="1"/>
    <col min="4875" max="5121" width="10.83203125" style="39"/>
    <col min="5122" max="5122" width="40.33203125" style="39" customWidth="1"/>
    <col min="5123" max="5123" width="22.1640625" style="39" customWidth="1"/>
    <col min="5124" max="5125" width="9" style="39" customWidth="1"/>
    <col min="5126" max="5126" width="23.1640625" style="39" customWidth="1"/>
    <col min="5127" max="5128" width="17.33203125" style="39" customWidth="1"/>
    <col min="5129" max="5129" width="22.1640625" style="39" customWidth="1"/>
    <col min="5130" max="5130" width="21.83203125" style="39" customWidth="1"/>
    <col min="5131" max="5377" width="10.83203125" style="39"/>
    <col min="5378" max="5378" width="40.33203125" style="39" customWidth="1"/>
    <col min="5379" max="5379" width="22.1640625" style="39" customWidth="1"/>
    <col min="5380" max="5381" width="9" style="39" customWidth="1"/>
    <col min="5382" max="5382" width="23.1640625" style="39" customWidth="1"/>
    <col min="5383" max="5384" width="17.33203125" style="39" customWidth="1"/>
    <col min="5385" max="5385" width="22.1640625" style="39" customWidth="1"/>
    <col min="5386" max="5386" width="21.83203125" style="39" customWidth="1"/>
    <col min="5387" max="5633" width="10.83203125" style="39"/>
    <col min="5634" max="5634" width="40.33203125" style="39" customWidth="1"/>
    <col min="5635" max="5635" width="22.1640625" style="39" customWidth="1"/>
    <col min="5636" max="5637" width="9" style="39" customWidth="1"/>
    <col min="5638" max="5638" width="23.1640625" style="39" customWidth="1"/>
    <col min="5639" max="5640" width="17.33203125" style="39" customWidth="1"/>
    <col min="5641" max="5641" width="22.1640625" style="39" customWidth="1"/>
    <col min="5642" max="5642" width="21.83203125" style="39" customWidth="1"/>
    <col min="5643" max="5889" width="10.83203125" style="39"/>
    <col min="5890" max="5890" width="40.33203125" style="39" customWidth="1"/>
    <col min="5891" max="5891" width="22.1640625" style="39" customWidth="1"/>
    <col min="5892" max="5893" width="9" style="39" customWidth="1"/>
    <col min="5894" max="5894" width="23.1640625" style="39" customWidth="1"/>
    <col min="5895" max="5896" width="17.33203125" style="39" customWidth="1"/>
    <col min="5897" max="5897" width="22.1640625" style="39" customWidth="1"/>
    <col min="5898" max="5898" width="21.83203125" style="39" customWidth="1"/>
    <col min="5899" max="6145" width="10.83203125" style="39"/>
    <col min="6146" max="6146" width="40.33203125" style="39" customWidth="1"/>
    <col min="6147" max="6147" width="22.1640625" style="39" customWidth="1"/>
    <col min="6148" max="6149" width="9" style="39" customWidth="1"/>
    <col min="6150" max="6150" width="23.1640625" style="39" customWidth="1"/>
    <col min="6151" max="6152" width="17.33203125" style="39" customWidth="1"/>
    <col min="6153" max="6153" width="22.1640625" style="39" customWidth="1"/>
    <col min="6154" max="6154" width="21.83203125" style="39" customWidth="1"/>
    <col min="6155" max="6401" width="10.83203125" style="39"/>
    <col min="6402" max="6402" width="40.33203125" style="39" customWidth="1"/>
    <col min="6403" max="6403" width="22.1640625" style="39" customWidth="1"/>
    <col min="6404" max="6405" width="9" style="39" customWidth="1"/>
    <col min="6406" max="6406" width="23.1640625" style="39" customWidth="1"/>
    <col min="6407" max="6408" width="17.33203125" style="39" customWidth="1"/>
    <col min="6409" max="6409" width="22.1640625" style="39" customWidth="1"/>
    <col min="6410" max="6410" width="21.83203125" style="39" customWidth="1"/>
    <col min="6411" max="6657" width="10.83203125" style="39"/>
    <col min="6658" max="6658" width="40.33203125" style="39" customWidth="1"/>
    <col min="6659" max="6659" width="22.1640625" style="39" customWidth="1"/>
    <col min="6660" max="6661" width="9" style="39" customWidth="1"/>
    <col min="6662" max="6662" width="23.1640625" style="39" customWidth="1"/>
    <col min="6663" max="6664" width="17.33203125" style="39" customWidth="1"/>
    <col min="6665" max="6665" width="22.1640625" style="39" customWidth="1"/>
    <col min="6666" max="6666" width="21.83203125" style="39" customWidth="1"/>
    <col min="6667" max="6913" width="10.83203125" style="39"/>
    <col min="6914" max="6914" width="40.33203125" style="39" customWidth="1"/>
    <col min="6915" max="6915" width="22.1640625" style="39" customWidth="1"/>
    <col min="6916" max="6917" width="9" style="39" customWidth="1"/>
    <col min="6918" max="6918" width="23.1640625" style="39" customWidth="1"/>
    <col min="6919" max="6920" width="17.33203125" style="39" customWidth="1"/>
    <col min="6921" max="6921" width="22.1640625" style="39" customWidth="1"/>
    <col min="6922" max="6922" width="21.83203125" style="39" customWidth="1"/>
    <col min="6923" max="7169" width="10.83203125" style="39"/>
    <col min="7170" max="7170" width="40.33203125" style="39" customWidth="1"/>
    <col min="7171" max="7171" width="22.1640625" style="39" customWidth="1"/>
    <col min="7172" max="7173" width="9" style="39" customWidth="1"/>
    <col min="7174" max="7174" width="23.1640625" style="39" customWidth="1"/>
    <col min="7175" max="7176" width="17.33203125" style="39" customWidth="1"/>
    <col min="7177" max="7177" width="22.1640625" style="39" customWidth="1"/>
    <col min="7178" max="7178" width="21.83203125" style="39" customWidth="1"/>
    <col min="7179" max="7425" width="10.83203125" style="39"/>
    <col min="7426" max="7426" width="40.33203125" style="39" customWidth="1"/>
    <col min="7427" max="7427" width="22.1640625" style="39" customWidth="1"/>
    <col min="7428" max="7429" width="9" style="39" customWidth="1"/>
    <col min="7430" max="7430" width="23.1640625" style="39" customWidth="1"/>
    <col min="7431" max="7432" width="17.33203125" style="39" customWidth="1"/>
    <col min="7433" max="7433" width="22.1640625" style="39" customWidth="1"/>
    <col min="7434" max="7434" width="21.83203125" style="39" customWidth="1"/>
    <col min="7435" max="7681" width="10.83203125" style="39"/>
    <col min="7682" max="7682" width="40.33203125" style="39" customWidth="1"/>
    <col min="7683" max="7683" width="22.1640625" style="39" customWidth="1"/>
    <col min="7684" max="7685" width="9" style="39" customWidth="1"/>
    <col min="7686" max="7686" width="23.1640625" style="39" customWidth="1"/>
    <col min="7687" max="7688" width="17.33203125" style="39" customWidth="1"/>
    <col min="7689" max="7689" width="22.1640625" style="39" customWidth="1"/>
    <col min="7690" max="7690" width="21.83203125" style="39" customWidth="1"/>
    <col min="7691" max="7937" width="10.83203125" style="39"/>
    <col min="7938" max="7938" width="40.33203125" style="39" customWidth="1"/>
    <col min="7939" max="7939" width="22.1640625" style="39" customWidth="1"/>
    <col min="7940" max="7941" width="9" style="39" customWidth="1"/>
    <col min="7942" max="7942" width="23.1640625" style="39" customWidth="1"/>
    <col min="7943" max="7944" width="17.33203125" style="39" customWidth="1"/>
    <col min="7945" max="7945" width="22.1640625" style="39" customWidth="1"/>
    <col min="7946" max="7946" width="21.83203125" style="39" customWidth="1"/>
    <col min="7947" max="8193" width="10.83203125" style="39"/>
    <col min="8194" max="8194" width="40.33203125" style="39" customWidth="1"/>
    <col min="8195" max="8195" width="22.1640625" style="39" customWidth="1"/>
    <col min="8196" max="8197" width="9" style="39" customWidth="1"/>
    <col min="8198" max="8198" width="23.1640625" style="39" customWidth="1"/>
    <col min="8199" max="8200" width="17.33203125" style="39" customWidth="1"/>
    <col min="8201" max="8201" width="22.1640625" style="39" customWidth="1"/>
    <col min="8202" max="8202" width="21.83203125" style="39" customWidth="1"/>
    <col min="8203" max="8449" width="10.83203125" style="39"/>
    <col min="8450" max="8450" width="40.33203125" style="39" customWidth="1"/>
    <col min="8451" max="8451" width="22.1640625" style="39" customWidth="1"/>
    <col min="8452" max="8453" width="9" style="39" customWidth="1"/>
    <col min="8454" max="8454" width="23.1640625" style="39" customWidth="1"/>
    <col min="8455" max="8456" width="17.33203125" style="39" customWidth="1"/>
    <col min="8457" max="8457" width="22.1640625" style="39" customWidth="1"/>
    <col min="8458" max="8458" width="21.83203125" style="39" customWidth="1"/>
    <col min="8459" max="8705" width="10.83203125" style="39"/>
    <col min="8706" max="8706" width="40.33203125" style="39" customWidth="1"/>
    <col min="8707" max="8707" width="22.1640625" style="39" customWidth="1"/>
    <col min="8708" max="8709" width="9" style="39" customWidth="1"/>
    <col min="8710" max="8710" width="23.1640625" style="39" customWidth="1"/>
    <col min="8711" max="8712" width="17.33203125" style="39" customWidth="1"/>
    <col min="8713" max="8713" width="22.1640625" style="39" customWidth="1"/>
    <col min="8714" max="8714" width="21.83203125" style="39" customWidth="1"/>
    <col min="8715" max="8961" width="10.83203125" style="39"/>
    <col min="8962" max="8962" width="40.33203125" style="39" customWidth="1"/>
    <col min="8963" max="8963" width="22.1640625" style="39" customWidth="1"/>
    <col min="8964" max="8965" width="9" style="39" customWidth="1"/>
    <col min="8966" max="8966" width="23.1640625" style="39" customWidth="1"/>
    <col min="8967" max="8968" width="17.33203125" style="39" customWidth="1"/>
    <col min="8969" max="8969" width="22.1640625" style="39" customWidth="1"/>
    <col min="8970" max="8970" width="21.83203125" style="39" customWidth="1"/>
    <col min="8971" max="9217" width="10.83203125" style="39"/>
    <col min="9218" max="9218" width="40.33203125" style="39" customWidth="1"/>
    <col min="9219" max="9219" width="22.1640625" style="39" customWidth="1"/>
    <col min="9220" max="9221" width="9" style="39" customWidth="1"/>
    <col min="9222" max="9222" width="23.1640625" style="39" customWidth="1"/>
    <col min="9223" max="9224" width="17.33203125" style="39" customWidth="1"/>
    <col min="9225" max="9225" width="22.1640625" style="39" customWidth="1"/>
    <col min="9226" max="9226" width="21.83203125" style="39" customWidth="1"/>
    <col min="9227" max="9473" width="10.83203125" style="39"/>
    <col min="9474" max="9474" width="40.33203125" style="39" customWidth="1"/>
    <col min="9475" max="9475" width="22.1640625" style="39" customWidth="1"/>
    <col min="9476" max="9477" width="9" style="39" customWidth="1"/>
    <col min="9478" max="9478" width="23.1640625" style="39" customWidth="1"/>
    <col min="9479" max="9480" width="17.33203125" style="39" customWidth="1"/>
    <col min="9481" max="9481" width="22.1640625" style="39" customWidth="1"/>
    <col min="9482" max="9482" width="21.83203125" style="39" customWidth="1"/>
    <col min="9483" max="9729" width="10.83203125" style="39"/>
    <col min="9730" max="9730" width="40.33203125" style="39" customWidth="1"/>
    <col min="9731" max="9731" width="22.1640625" style="39" customWidth="1"/>
    <col min="9732" max="9733" width="9" style="39" customWidth="1"/>
    <col min="9734" max="9734" width="23.1640625" style="39" customWidth="1"/>
    <col min="9735" max="9736" width="17.33203125" style="39" customWidth="1"/>
    <col min="9737" max="9737" width="22.1640625" style="39" customWidth="1"/>
    <col min="9738" max="9738" width="21.83203125" style="39" customWidth="1"/>
    <col min="9739" max="9985" width="10.83203125" style="39"/>
    <col min="9986" max="9986" width="40.33203125" style="39" customWidth="1"/>
    <col min="9987" max="9987" width="22.1640625" style="39" customWidth="1"/>
    <col min="9988" max="9989" width="9" style="39" customWidth="1"/>
    <col min="9990" max="9990" width="23.1640625" style="39" customWidth="1"/>
    <col min="9991" max="9992" width="17.33203125" style="39" customWidth="1"/>
    <col min="9993" max="9993" width="22.1640625" style="39" customWidth="1"/>
    <col min="9994" max="9994" width="21.83203125" style="39" customWidth="1"/>
    <col min="9995" max="10241" width="10.83203125" style="39"/>
    <col min="10242" max="10242" width="40.33203125" style="39" customWidth="1"/>
    <col min="10243" max="10243" width="22.1640625" style="39" customWidth="1"/>
    <col min="10244" max="10245" width="9" style="39" customWidth="1"/>
    <col min="10246" max="10246" width="23.1640625" style="39" customWidth="1"/>
    <col min="10247" max="10248" width="17.33203125" style="39" customWidth="1"/>
    <col min="10249" max="10249" width="22.1640625" style="39" customWidth="1"/>
    <col min="10250" max="10250" width="21.83203125" style="39" customWidth="1"/>
    <col min="10251" max="10497" width="10.83203125" style="39"/>
    <col min="10498" max="10498" width="40.33203125" style="39" customWidth="1"/>
    <col min="10499" max="10499" width="22.1640625" style="39" customWidth="1"/>
    <col min="10500" max="10501" width="9" style="39" customWidth="1"/>
    <col min="10502" max="10502" width="23.1640625" style="39" customWidth="1"/>
    <col min="10503" max="10504" width="17.33203125" style="39" customWidth="1"/>
    <col min="10505" max="10505" width="22.1640625" style="39" customWidth="1"/>
    <col min="10506" max="10506" width="21.83203125" style="39" customWidth="1"/>
    <col min="10507" max="10753" width="10.83203125" style="39"/>
    <col min="10754" max="10754" width="40.33203125" style="39" customWidth="1"/>
    <col min="10755" max="10755" width="22.1640625" style="39" customWidth="1"/>
    <col min="10756" max="10757" width="9" style="39" customWidth="1"/>
    <col min="10758" max="10758" width="23.1640625" style="39" customWidth="1"/>
    <col min="10759" max="10760" width="17.33203125" style="39" customWidth="1"/>
    <col min="10761" max="10761" width="22.1640625" style="39" customWidth="1"/>
    <col min="10762" max="10762" width="21.83203125" style="39" customWidth="1"/>
    <col min="10763" max="11009" width="10.83203125" style="39"/>
    <col min="11010" max="11010" width="40.33203125" style="39" customWidth="1"/>
    <col min="11011" max="11011" width="22.1640625" style="39" customWidth="1"/>
    <col min="11012" max="11013" width="9" style="39" customWidth="1"/>
    <col min="11014" max="11014" width="23.1640625" style="39" customWidth="1"/>
    <col min="11015" max="11016" width="17.33203125" style="39" customWidth="1"/>
    <col min="11017" max="11017" width="22.1640625" style="39" customWidth="1"/>
    <col min="11018" max="11018" width="21.83203125" style="39" customWidth="1"/>
    <col min="11019" max="11265" width="10.83203125" style="39"/>
    <col min="11266" max="11266" width="40.33203125" style="39" customWidth="1"/>
    <col min="11267" max="11267" width="22.1640625" style="39" customWidth="1"/>
    <col min="11268" max="11269" width="9" style="39" customWidth="1"/>
    <col min="11270" max="11270" width="23.1640625" style="39" customWidth="1"/>
    <col min="11271" max="11272" width="17.33203125" style="39" customWidth="1"/>
    <col min="11273" max="11273" width="22.1640625" style="39" customWidth="1"/>
    <col min="11274" max="11274" width="21.83203125" style="39" customWidth="1"/>
    <col min="11275" max="11521" width="10.83203125" style="39"/>
    <col min="11522" max="11522" width="40.33203125" style="39" customWidth="1"/>
    <col min="11523" max="11523" width="22.1640625" style="39" customWidth="1"/>
    <col min="11524" max="11525" width="9" style="39" customWidth="1"/>
    <col min="11526" max="11526" width="23.1640625" style="39" customWidth="1"/>
    <col min="11527" max="11528" width="17.33203125" style="39" customWidth="1"/>
    <col min="11529" max="11529" width="22.1640625" style="39" customWidth="1"/>
    <col min="11530" max="11530" width="21.83203125" style="39" customWidth="1"/>
    <col min="11531" max="11777" width="10.83203125" style="39"/>
    <col min="11778" max="11778" width="40.33203125" style="39" customWidth="1"/>
    <col min="11779" max="11779" width="22.1640625" style="39" customWidth="1"/>
    <col min="11780" max="11781" width="9" style="39" customWidth="1"/>
    <col min="11782" max="11782" width="23.1640625" style="39" customWidth="1"/>
    <col min="11783" max="11784" width="17.33203125" style="39" customWidth="1"/>
    <col min="11785" max="11785" width="22.1640625" style="39" customWidth="1"/>
    <col min="11786" max="11786" width="21.83203125" style="39" customWidth="1"/>
    <col min="11787" max="12033" width="10.83203125" style="39"/>
    <col min="12034" max="12034" width="40.33203125" style="39" customWidth="1"/>
    <col min="12035" max="12035" width="22.1640625" style="39" customWidth="1"/>
    <col min="12036" max="12037" width="9" style="39" customWidth="1"/>
    <col min="12038" max="12038" width="23.1640625" style="39" customWidth="1"/>
    <col min="12039" max="12040" width="17.33203125" style="39" customWidth="1"/>
    <col min="12041" max="12041" width="22.1640625" style="39" customWidth="1"/>
    <col min="12042" max="12042" width="21.83203125" style="39" customWidth="1"/>
    <col min="12043" max="12289" width="10.83203125" style="39"/>
    <col min="12290" max="12290" width="40.33203125" style="39" customWidth="1"/>
    <col min="12291" max="12291" width="22.1640625" style="39" customWidth="1"/>
    <col min="12292" max="12293" width="9" style="39" customWidth="1"/>
    <col min="12294" max="12294" width="23.1640625" style="39" customWidth="1"/>
    <col min="12295" max="12296" width="17.33203125" style="39" customWidth="1"/>
    <col min="12297" max="12297" width="22.1640625" style="39" customWidth="1"/>
    <col min="12298" max="12298" width="21.83203125" style="39" customWidth="1"/>
    <col min="12299" max="12545" width="10.83203125" style="39"/>
    <col min="12546" max="12546" width="40.33203125" style="39" customWidth="1"/>
    <col min="12547" max="12547" width="22.1640625" style="39" customWidth="1"/>
    <col min="12548" max="12549" width="9" style="39" customWidth="1"/>
    <col min="12550" max="12550" width="23.1640625" style="39" customWidth="1"/>
    <col min="12551" max="12552" width="17.33203125" style="39" customWidth="1"/>
    <col min="12553" max="12553" width="22.1640625" style="39" customWidth="1"/>
    <col min="12554" max="12554" width="21.83203125" style="39" customWidth="1"/>
    <col min="12555" max="12801" width="10.83203125" style="39"/>
    <col min="12802" max="12802" width="40.33203125" style="39" customWidth="1"/>
    <col min="12803" max="12803" width="22.1640625" style="39" customWidth="1"/>
    <col min="12804" max="12805" width="9" style="39" customWidth="1"/>
    <col min="12806" max="12806" width="23.1640625" style="39" customWidth="1"/>
    <col min="12807" max="12808" width="17.33203125" style="39" customWidth="1"/>
    <col min="12809" max="12809" width="22.1640625" style="39" customWidth="1"/>
    <col min="12810" max="12810" width="21.83203125" style="39" customWidth="1"/>
    <col min="12811" max="13057" width="10.83203125" style="39"/>
    <col min="13058" max="13058" width="40.33203125" style="39" customWidth="1"/>
    <col min="13059" max="13059" width="22.1640625" style="39" customWidth="1"/>
    <col min="13060" max="13061" width="9" style="39" customWidth="1"/>
    <col min="13062" max="13062" width="23.1640625" style="39" customWidth="1"/>
    <col min="13063" max="13064" width="17.33203125" style="39" customWidth="1"/>
    <col min="13065" max="13065" width="22.1640625" style="39" customWidth="1"/>
    <col min="13066" max="13066" width="21.83203125" style="39" customWidth="1"/>
    <col min="13067" max="13313" width="10.83203125" style="39"/>
    <col min="13314" max="13314" width="40.33203125" style="39" customWidth="1"/>
    <col min="13315" max="13315" width="22.1640625" style="39" customWidth="1"/>
    <col min="13316" max="13317" width="9" style="39" customWidth="1"/>
    <col min="13318" max="13318" width="23.1640625" style="39" customWidth="1"/>
    <col min="13319" max="13320" width="17.33203125" style="39" customWidth="1"/>
    <col min="13321" max="13321" width="22.1640625" style="39" customWidth="1"/>
    <col min="13322" max="13322" width="21.83203125" style="39" customWidth="1"/>
    <col min="13323" max="13569" width="10.83203125" style="39"/>
    <col min="13570" max="13570" width="40.33203125" style="39" customWidth="1"/>
    <col min="13571" max="13571" width="22.1640625" style="39" customWidth="1"/>
    <col min="13572" max="13573" width="9" style="39" customWidth="1"/>
    <col min="13574" max="13574" width="23.1640625" style="39" customWidth="1"/>
    <col min="13575" max="13576" width="17.33203125" style="39" customWidth="1"/>
    <col min="13577" max="13577" width="22.1640625" style="39" customWidth="1"/>
    <col min="13578" max="13578" width="21.83203125" style="39" customWidth="1"/>
    <col min="13579" max="13825" width="10.83203125" style="39"/>
    <col min="13826" max="13826" width="40.33203125" style="39" customWidth="1"/>
    <col min="13827" max="13827" width="22.1640625" style="39" customWidth="1"/>
    <col min="13828" max="13829" width="9" style="39" customWidth="1"/>
    <col min="13830" max="13830" width="23.1640625" style="39" customWidth="1"/>
    <col min="13831" max="13832" width="17.33203125" style="39" customWidth="1"/>
    <col min="13833" max="13833" width="22.1640625" style="39" customWidth="1"/>
    <col min="13834" max="13834" width="21.83203125" style="39" customWidth="1"/>
    <col min="13835" max="14081" width="10.83203125" style="39"/>
    <col min="14082" max="14082" width="40.33203125" style="39" customWidth="1"/>
    <col min="14083" max="14083" width="22.1640625" style="39" customWidth="1"/>
    <col min="14084" max="14085" width="9" style="39" customWidth="1"/>
    <col min="14086" max="14086" width="23.1640625" style="39" customWidth="1"/>
    <col min="14087" max="14088" width="17.33203125" style="39" customWidth="1"/>
    <col min="14089" max="14089" width="22.1640625" style="39" customWidth="1"/>
    <col min="14090" max="14090" width="21.83203125" style="39" customWidth="1"/>
    <col min="14091" max="14337" width="10.83203125" style="39"/>
    <col min="14338" max="14338" width="40.33203125" style="39" customWidth="1"/>
    <col min="14339" max="14339" width="22.1640625" style="39" customWidth="1"/>
    <col min="14340" max="14341" width="9" style="39" customWidth="1"/>
    <col min="14342" max="14342" width="23.1640625" style="39" customWidth="1"/>
    <col min="14343" max="14344" width="17.33203125" style="39" customWidth="1"/>
    <col min="14345" max="14345" width="22.1640625" style="39" customWidth="1"/>
    <col min="14346" max="14346" width="21.83203125" style="39" customWidth="1"/>
    <col min="14347" max="14593" width="10.83203125" style="39"/>
    <col min="14594" max="14594" width="40.33203125" style="39" customWidth="1"/>
    <col min="14595" max="14595" width="22.1640625" style="39" customWidth="1"/>
    <col min="14596" max="14597" width="9" style="39" customWidth="1"/>
    <col min="14598" max="14598" width="23.1640625" style="39" customWidth="1"/>
    <col min="14599" max="14600" width="17.33203125" style="39" customWidth="1"/>
    <col min="14601" max="14601" width="22.1640625" style="39" customWidth="1"/>
    <col min="14602" max="14602" width="21.83203125" style="39" customWidth="1"/>
    <col min="14603" max="14849" width="10.83203125" style="39"/>
    <col min="14850" max="14850" width="40.33203125" style="39" customWidth="1"/>
    <col min="14851" max="14851" width="22.1640625" style="39" customWidth="1"/>
    <col min="14852" max="14853" width="9" style="39" customWidth="1"/>
    <col min="14854" max="14854" width="23.1640625" style="39" customWidth="1"/>
    <col min="14855" max="14856" width="17.33203125" style="39" customWidth="1"/>
    <col min="14857" max="14857" width="22.1640625" style="39" customWidth="1"/>
    <col min="14858" max="14858" width="21.83203125" style="39" customWidth="1"/>
    <col min="14859" max="15105" width="10.83203125" style="39"/>
    <col min="15106" max="15106" width="40.33203125" style="39" customWidth="1"/>
    <col min="15107" max="15107" width="22.1640625" style="39" customWidth="1"/>
    <col min="15108" max="15109" width="9" style="39" customWidth="1"/>
    <col min="15110" max="15110" width="23.1640625" style="39" customWidth="1"/>
    <col min="15111" max="15112" width="17.33203125" style="39" customWidth="1"/>
    <col min="15113" max="15113" width="22.1640625" style="39" customWidth="1"/>
    <col min="15114" max="15114" width="21.83203125" style="39" customWidth="1"/>
    <col min="15115" max="15361" width="10.83203125" style="39"/>
    <col min="15362" max="15362" width="40.33203125" style="39" customWidth="1"/>
    <col min="15363" max="15363" width="22.1640625" style="39" customWidth="1"/>
    <col min="15364" max="15365" width="9" style="39" customWidth="1"/>
    <col min="15366" max="15366" width="23.1640625" style="39" customWidth="1"/>
    <col min="15367" max="15368" width="17.33203125" style="39" customWidth="1"/>
    <col min="15369" max="15369" width="22.1640625" style="39" customWidth="1"/>
    <col min="15370" max="15370" width="21.83203125" style="39" customWidth="1"/>
    <col min="15371" max="15617" width="10.83203125" style="39"/>
    <col min="15618" max="15618" width="40.33203125" style="39" customWidth="1"/>
    <col min="15619" max="15619" width="22.1640625" style="39" customWidth="1"/>
    <col min="15620" max="15621" width="9" style="39" customWidth="1"/>
    <col min="15622" max="15622" width="23.1640625" style="39" customWidth="1"/>
    <col min="15623" max="15624" width="17.33203125" style="39" customWidth="1"/>
    <col min="15625" max="15625" width="22.1640625" style="39" customWidth="1"/>
    <col min="15626" max="15626" width="21.83203125" style="39" customWidth="1"/>
    <col min="15627" max="15873" width="10.83203125" style="39"/>
    <col min="15874" max="15874" width="40.33203125" style="39" customWidth="1"/>
    <col min="15875" max="15875" width="22.1640625" style="39" customWidth="1"/>
    <col min="15876" max="15877" width="9" style="39" customWidth="1"/>
    <col min="15878" max="15878" width="23.1640625" style="39" customWidth="1"/>
    <col min="15879" max="15880" width="17.33203125" style="39" customWidth="1"/>
    <col min="15881" max="15881" width="22.1640625" style="39" customWidth="1"/>
    <col min="15882" max="15882" width="21.83203125" style="39" customWidth="1"/>
    <col min="15883" max="16129" width="10.83203125" style="39"/>
    <col min="16130" max="16130" width="40.33203125" style="39" customWidth="1"/>
    <col min="16131" max="16131" width="22.1640625" style="39" customWidth="1"/>
    <col min="16132" max="16133" width="9" style="39" customWidth="1"/>
    <col min="16134" max="16134" width="23.1640625" style="39" customWidth="1"/>
    <col min="16135" max="16136" width="17.33203125" style="39" customWidth="1"/>
    <col min="16137" max="16137" width="22.1640625" style="39" customWidth="1"/>
    <col min="16138" max="16138" width="21.83203125" style="39" customWidth="1"/>
    <col min="16139" max="16384" width="10.83203125" style="39"/>
  </cols>
  <sheetData>
    <row r="1" spans="1:14" ht="43" customHeight="1" thickBot="1">
      <c r="A1" s="34" t="s">
        <v>347</v>
      </c>
      <c r="B1" s="35" t="s">
        <v>348</v>
      </c>
      <c r="C1" s="87" t="s">
        <v>349</v>
      </c>
      <c r="D1" s="79" t="s">
        <v>447</v>
      </c>
      <c r="E1" s="36" t="s">
        <v>350</v>
      </c>
      <c r="F1" s="37" t="s">
        <v>351</v>
      </c>
      <c r="G1" s="37" t="s">
        <v>352</v>
      </c>
      <c r="H1" s="38" t="s">
        <v>353</v>
      </c>
      <c r="I1" s="80" t="s">
        <v>446</v>
      </c>
      <c r="J1" s="80" t="s">
        <v>441</v>
      </c>
      <c r="K1" s="80" t="s">
        <v>443</v>
      </c>
      <c r="L1" s="80" t="s">
        <v>442</v>
      </c>
      <c r="M1" s="80" t="s">
        <v>444</v>
      </c>
      <c r="N1" s="80" t="s">
        <v>445</v>
      </c>
    </row>
    <row r="2" spans="1:14" ht="15" customHeight="1">
      <c r="A2" s="40" t="s">
        <v>354</v>
      </c>
      <c r="B2" s="81">
        <f>+C2+D2</f>
        <v>6</v>
      </c>
      <c r="C2" s="88">
        <f>SUM(I2:N2)</f>
        <v>1</v>
      </c>
      <c r="D2" s="82">
        <v>5</v>
      </c>
      <c r="E2" s="41"/>
      <c r="F2" s="41"/>
      <c r="G2" s="41">
        <f t="shared" ref="G2:G10" si="0">SUM(E2:F2)</f>
        <v>0</v>
      </c>
      <c r="H2" s="40"/>
      <c r="I2" s="77"/>
      <c r="N2" s="39">
        <v>1</v>
      </c>
    </row>
    <row r="3" spans="1:14">
      <c r="A3" s="42" t="s">
        <v>355</v>
      </c>
      <c r="B3" s="81">
        <f t="shared" ref="B3:B66" si="1">+C3+D3</f>
        <v>0</v>
      </c>
      <c r="C3" s="89">
        <f t="shared" ref="C3:C66" si="2">SUM(I3:N3)</f>
        <v>0</v>
      </c>
      <c r="D3" s="83"/>
      <c r="E3" s="43"/>
      <c r="F3" s="43"/>
      <c r="G3" s="43">
        <f t="shared" si="0"/>
        <v>0</v>
      </c>
      <c r="H3" s="42"/>
      <c r="I3" s="78"/>
    </row>
    <row r="4" spans="1:14">
      <c r="A4" s="42" t="s">
        <v>356</v>
      </c>
      <c r="B4" s="81">
        <f t="shared" si="1"/>
        <v>0</v>
      </c>
      <c r="C4" s="89">
        <f t="shared" si="2"/>
        <v>0</v>
      </c>
      <c r="D4" s="83"/>
      <c r="E4" s="43"/>
      <c r="F4" s="43"/>
      <c r="G4" s="43">
        <f t="shared" si="0"/>
        <v>0</v>
      </c>
      <c r="H4" s="42"/>
      <c r="I4" s="78"/>
    </row>
    <row r="5" spans="1:14">
      <c r="A5" s="42" t="s">
        <v>357</v>
      </c>
      <c r="B5" s="81">
        <f t="shared" si="1"/>
        <v>0</v>
      </c>
      <c r="C5" s="89">
        <f t="shared" si="2"/>
        <v>0</v>
      </c>
      <c r="D5" s="83"/>
      <c r="E5" s="43"/>
      <c r="F5" s="43"/>
      <c r="G5" s="44">
        <f t="shared" si="0"/>
        <v>0</v>
      </c>
      <c r="H5" s="42"/>
      <c r="I5" s="78"/>
    </row>
    <row r="6" spans="1:14">
      <c r="A6" s="45" t="s">
        <v>358</v>
      </c>
      <c r="B6" s="81">
        <f t="shared" si="1"/>
        <v>0</v>
      </c>
      <c r="C6" s="89">
        <f t="shared" si="2"/>
        <v>0</v>
      </c>
      <c r="D6" s="84"/>
      <c r="E6" s="46"/>
      <c r="F6" s="46"/>
      <c r="G6" s="43">
        <f t="shared" si="0"/>
        <v>0</v>
      </c>
      <c r="H6" s="45"/>
      <c r="I6" s="78"/>
    </row>
    <row r="7" spans="1:14">
      <c r="A7" s="47" t="s">
        <v>359</v>
      </c>
      <c r="B7" s="81">
        <f t="shared" si="1"/>
        <v>0</v>
      </c>
      <c r="C7" s="89">
        <f t="shared" si="2"/>
        <v>0</v>
      </c>
      <c r="D7" s="85"/>
      <c r="E7" s="44"/>
      <c r="F7" s="44"/>
      <c r="G7" s="43">
        <f t="shared" si="0"/>
        <v>0</v>
      </c>
      <c r="H7" s="47"/>
      <c r="I7" s="78"/>
    </row>
    <row r="8" spans="1:14">
      <c r="A8" s="42" t="s">
        <v>360</v>
      </c>
      <c r="B8" s="81">
        <f t="shared" si="1"/>
        <v>0</v>
      </c>
      <c r="C8" s="89">
        <f t="shared" si="2"/>
        <v>0</v>
      </c>
      <c r="D8" s="83"/>
      <c r="E8" s="43"/>
      <c r="F8" s="43"/>
      <c r="G8" s="43">
        <f t="shared" si="0"/>
        <v>0</v>
      </c>
      <c r="H8" s="42"/>
      <c r="I8" s="78"/>
    </row>
    <row r="9" spans="1:14">
      <c r="A9" s="45" t="s">
        <v>361</v>
      </c>
      <c r="B9" s="81">
        <f t="shared" si="1"/>
        <v>0</v>
      </c>
      <c r="C9" s="89">
        <f t="shared" si="2"/>
        <v>0</v>
      </c>
      <c r="D9" s="84"/>
      <c r="E9" s="46"/>
      <c r="F9" s="46"/>
      <c r="G9" s="43">
        <f t="shared" si="0"/>
        <v>0</v>
      </c>
      <c r="H9" s="45"/>
      <c r="I9" s="78"/>
    </row>
    <row r="10" spans="1:14">
      <c r="A10" s="45" t="s">
        <v>362</v>
      </c>
      <c r="B10" s="81">
        <f t="shared" si="1"/>
        <v>0</v>
      </c>
      <c r="C10" s="89">
        <f t="shared" si="2"/>
        <v>0</v>
      </c>
      <c r="D10" s="84"/>
      <c r="E10" s="46"/>
      <c r="F10" s="46"/>
      <c r="G10" s="43">
        <f t="shared" si="0"/>
        <v>0</v>
      </c>
      <c r="H10" s="45"/>
      <c r="I10" s="78"/>
    </row>
    <row r="11" spans="1:14">
      <c r="A11" s="45" t="s">
        <v>363</v>
      </c>
      <c r="B11" s="81">
        <f t="shared" si="1"/>
        <v>0</v>
      </c>
      <c r="C11" s="89">
        <f t="shared" si="2"/>
        <v>0</v>
      </c>
      <c r="D11" s="84"/>
      <c r="E11" s="46"/>
      <c r="F11" s="46"/>
      <c r="G11" s="43">
        <f t="shared" ref="G11:G69" si="3">SUM(E11:F11)</f>
        <v>0</v>
      </c>
      <c r="H11" s="45"/>
      <c r="I11" s="78"/>
    </row>
    <row r="12" spans="1:14">
      <c r="A12" s="45" t="s">
        <v>364</v>
      </c>
      <c r="B12" s="81">
        <f t="shared" si="1"/>
        <v>0</v>
      </c>
      <c r="C12" s="89">
        <f t="shared" si="2"/>
        <v>0</v>
      </c>
      <c r="D12" s="84"/>
      <c r="E12" s="46"/>
      <c r="F12" s="46"/>
      <c r="G12" s="43">
        <f t="shared" si="3"/>
        <v>0</v>
      </c>
      <c r="H12" s="45"/>
      <c r="I12" s="78"/>
    </row>
    <row r="13" spans="1:14">
      <c r="A13" s="42" t="s">
        <v>365</v>
      </c>
      <c r="B13" s="81">
        <f t="shared" si="1"/>
        <v>0</v>
      </c>
      <c r="C13" s="89">
        <f t="shared" si="2"/>
        <v>0</v>
      </c>
      <c r="D13" s="83"/>
      <c r="E13" s="43"/>
      <c r="F13" s="43"/>
      <c r="G13" s="43">
        <f t="shared" si="3"/>
        <v>0</v>
      </c>
      <c r="H13" s="42"/>
      <c r="I13" s="78"/>
    </row>
    <row r="14" spans="1:14">
      <c r="A14" s="42" t="s">
        <v>366</v>
      </c>
      <c r="B14" s="81">
        <f t="shared" si="1"/>
        <v>0</v>
      </c>
      <c r="C14" s="89">
        <f t="shared" si="2"/>
        <v>0</v>
      </c>
      <c r="D14" s="83"/>
      <c r="E14" s="43"/>
      <c r="F14" s="43"/>
      <c r="G14" s="43">
        <f t="shared" si="3"/>
        <v>0</v>
      </c>
      <c r="H14" s="42"/>
      <c r="I14" s="78"/>
    </row>
    <row r="15" spans="1:14">
      <c r="A15" s="42" t="s">
        <v>367</v>
      </c>
      <c r="B15" s="81">
        <f t="shared" si="1"/>
        <v>0</v>
      </c>
      <c r="C15" s="89">
        <f t="shared" si="2"/>
        <v>0</v>
      </c>
      <c r="D15" s="83"/>
      <c r="E15" s="43"/>
      <c r="F15" s="43"/>
      <c r="G15" s="43">
        <f t="shared" si="3"/>
        <v>0</v>
      </c>
      <c r="H15" s="42"/>
      <c r="I15" s="78"/>
    </row>
    <row r="16" spans="1:14">
      <c r="A16" s="45" t="s">
        <v>368</v>
      </c>
      <c r="B16" s="81">
        <f t="shared" si="1"/>
        <v>0</v>
      </c>
      <c r="C16" s="89">
        <f t="shared" si="2"/>
        <v>0</v>
      </c>
      <c r="D16" s="84"/>
      <c r="E16" s="46"/>
      <c r="F16" s="46"/>
      <c r="G16" s="43">
        <f t="shared" si="3"/>
        <v>0</v>
      </c>
      <c r="H16" s="45"/>
      <c r="I16" s="78"/>
    </row>
    <row r="17" spans="1:9">
      <c r="A17" s="42" t="s">
        <v>369</v>
      </c>
      <c r="B17" s="81">
        <f t="shared" si="1"/>
        <v>0</v>
      </c>
      <c r="C17" s="89">
        <f t="shared" si="2"/>
        <v>0</v>
      </c>
      <c r="D17" s="83"/>
      <c r="E17" s="43"/>
      <c r="F17" s="43"/>
      <c r="G17" s="43">
        <f t="shared" si="3"/>
        <v>0</v>
      </c>
      <c r="H17" s="42"/>
      <c r="I17" s="78"/>
    </row>
    <row r="18" spans="1:9">
      <c r="A18" s="45" t="s">
        <v>370</v>
      </c>
      <c r="B18" s="81">
        <f t="shared" si="1"/>
        <v>0</v>
      </c>
      <c r="C18" s="89">
        <f t="shared" si="2"/>
        <v>0</v>
      </c>
      <c r="D18" s="84"/>
      <c r="E18" s="46"/>
      <c r="F18" s="46"/>
      <c r="G18" s="43">
        <f t="shared" si="3"/>
        <v>0</v>
      </c>
      <c r="H18" s="45"/>
      <c r="I18" s="78"/>
    </row>
    <row r="19" spans="1:9">
      <c r="A19" s="42" t="s">
        <v>371</v>
      </c>
      <c r="B19" s="81">
        <f t="shared" si="1"/>
        <v>0</v>
      </c>
      <c r="C19" s="89">
        <f t="shared" si="2"/>
        <v>0</v>
      </c>
      <c r="D19" s="83"/>
      <c r="E19" s="43"/>
      <c r="F19" s="43"/>
      <c r="G19" s="43">
        <f t="shared" si="3"/>
        <v>0</v>
      </c>
      <c r="H19" s="42"/>
      <c r="I19" s="78"/>
    </row>
    <row r="20" spans="1:9">
      <c r="A20" s="45" t="s">
        <v>372</v>
      </c>
      <c r="B20" s="81">
        <f t="shared" si="1"/>
        <v>0</v>
      </c>
      <c r="C20" s="89">
        <f t="shared" si="2"/>
        <v>0</v>
      </c>
      <c r="D20" s="84"/>
      <c r="E20" s="46"/>
      <c r="F20" s="46"/>
      <c r="G20" s="43">
        <f t="shared" si="3"/>
        <v>0</v>
      </c>
      <c r="H20" s="45"/>
      <c r="I20" s="78"/>
    </row>
    <row r="21" spans="1:9">
      <c r="A21" s="45" t="s">
        <v>373</v>
      </c>
      <c r="B21" s="81">
        <f t="shared" si="1"/>
        <v>0</v>
      </c>
      <c r="C21" s="89">
        <f t="shared" si="2"/>
        <v>0</v>
      </c>
      <c r="D21" s="84"/>
      <c r="E21" s="46"/>
      <c r="F21" s="46"/>
      <c r="G21" s="43">
        <f t="shared" si="3"/>
        <v>0</v>
      </c>
      <c r="H21" s="45"/>
      <c r="I21" s="78"/>
    </row>
    <row r="22" spans="1:9">
      <c r="A22" s="45" t="s">
        <v>374</v>
      </c>
      <c r="B22" s="81">
        <f t="shared" si="1"/>
        <v>0</v>
      </c>
      <c r="C22" s="89">
        <f t="shared" si="2"/>
        <v>0</v>
      </c>
      <c r="D22" s="84"/>
      <c r="E22" s="46"/>
      <c r="F22" s="46"/>
      <c r="G22" s="43">
        <f t="shared" si="3"/>
        <v>0</v>
      </c>
      <c r="H22" s="45"/>
      <c r="I22" s="78"/>
    </row>
    <row r="23" spans="1:9">
      <c r="A23" s="45" t="s">
        <v>375</v>
      </c>
      <c r="B23" s="81">
        <f t="shared" si="1"/>
        <v>0</v>
      </c>
      <c r="C23" s="89">
        <f t="shared" si="2"/>
        <v>0</v>
      </c>
      <c r="D23" s="84"/>
      <c r="E23" s="46"/>
      <c r="F23" s="46"/>
      <c r="G23" s="43">
        <f t="shared" si="3"/>
        <v>0</v>
      </c>
      <c r="H23" s="45"/>
      <c r="I23" s="78"/>
    </row>
    <row r="24" spans="1:9">
      <c r="A24" s="42" t="s">
        <v>376</v>
      </c>
      <c r="B24" s="81">
        <f t="shared" si="1"/>
        <v>0</v>
      </c>
      <c r="C24" s="89">
        <f t="shared" si="2"/>
        <v>0</v>
      </c>
      <c r="D24" s="83"/>
      <c r="E24" s="43"/>
      <c r="F24" s="43"/>
      <c r="G24" s="43">
        <f t="shared" si="3"/>
        <v>0</v>
      </c>
      <c r="H24" s="42"/>
      <c r="I24" s="78"/>
    </row>
    <row r="25" spans="1:9">
      <c r="A25" s="42" t="s">
        <v>377</v>
      </c>
      <c r="B25" s="81">
        <f t="shared" si="1"/>
        <v>0</v>
      </c>
      <c r="C25" s="89">
        <f t="shared" si="2"/>
        <v>0</v>
      </c>
      <c r="D25" s="83"/>
      <c r="E25" s="43"/>
      <c r="F25" s="43"/>
      <c r="G25" s="43">
        <f t="shared" si="3"/>
        <v>0</v>
      </c>
      <c r="H25" s="42"/>
      <c r="I25" s="78"/>
    </row>
    <row r="26" spans="1:9">
      <c r="A26" s="42" t="s">
        <v>378</v>
      </c>
      <c r="B26" s="81">
        <f t="shared" si="1"/>
        <v>0</v>
      </c>
      <c r="C26" s="89">
        <f t="shared" si="2"/>
        <v>0</v>
      </c>
      <c r="D26" s="83"/>
      <c r="E26" s="43"/>
      <c r="F26" s="43"/>
      <c r="G26" s="43">
        <f t="shared" si="3"/>
        <v>0</v>
      </c>
      <c r="H26" s="42"/>
      <c r="I26" s="78"/>
    </row>
    <row r="27" spans="1:9">
      <c r="A27" s="42" t="s">
        <v>379</v>
      </c>
      <c r="B27" s="81">
        <f t="shared" si="1"/>
        <v>0</v>
      </c>
      <c r="C27" s="89">
        <f t="shared" si="2"/>
        <v>0</v>
      </c>
      <c r="D27" s="83"/>
      <c r="E27" s="43"/>
      <c r="F27" s="43"/>
      <c r="G27" s="43">
        <f t="shared" si="3"/>
        <v>0</v>
      </c>
      <c r="H27" s="42"/>
      <c r="I27" s="78"/>
    </row>
    <row r="28" spans="1:9">
      <c r="A28" s="42" t="s">
        <v>380</v>
      </c>
      <c r="B28" s="81">
        <f t="shared" si="1"/>
        <v>0</v>
      </c>
      <c r="C28" s="89">
        <f t="shared" si="2"/>
        <v>0</v>
      </c>
      <c r="D28" s="83"/>
      <c r="E28" s="43"/>
      <c r="F28" s="43"/>
      <c r="G28" s="43">
        <f t="shared" si="3"/>
        <v>0</v>
      </c>
      <c r="H28" s="42"/>
      <c r="I28" s="78"/>
    </row>
    <row r="29" spans="1:9">
      <c r="A29" s="42" t="s">
        <v>381</v>
      </c>
      <c r="B29" s="81">
        <f t="shared" si="1"/>
        <v>0</v>
      </c>
      <c r="C29" s="89">
        <f t="shared" si="2"/>
        <v>0</v>
      </c>
      <c r="D29" s="83"/>
      <c r="E29" s="43"/>
      <c r="F29" s="43"/>
      <c r="G29" s="43">
        <f t="shared" si="3"/>
        <v>0</v>
      </c>
      <c r="H29" s="42"/>
      <c r="I29" s="78"/>
    </row>
    <row r="30" spans="1:9">
      <c r="A30" s="42" t="s">
        <v>382</v>
      </c>
      <c r="B30" s="81">
        <f t="shared" si="1"/>
        <v>0</v>
      </c>
      <c r="C30" s="89">
        <f t="shared" si="2"/>
        <v>0</v>
      </c>
      <c r="D30" s="83"/>
      <c r="E30" s="43"/>
      <c r="F30" s="43"/>
      <c r="G30" s="43">
        <f t="shared" si="3"/>
        <v>0</v>
      </c>
      <c r="H30" s="42"/>
      <c r="I30" s="78"/>
    </row>
    <row r="31" spans="1:9">
      <c r="A31" s="42" t="s">
        <v>383</v>
      </c>
      <c r="B31" s="81">
        <f t="shared" si="1"/>
        <v>0</v>
      </c>
      <c r="C31" s="89">
        <f t="shared" si="2"/>
        <v>0</v>
      </c>
      <c r="D31" s="83"/>
      <c r="E31" s="43"/>
      <c r="F31" s="43"/>
      <c r="G31" s="43">
        <f t="shared" si="3"/>
        <v>0</v>
      </c>
      <c r="H31" s="42"/>
      <c r="I31" s="78"/>
    </row>
    <row r="32" spans="1:9">
      <c r="A32" s="42" t="s">
        <v>384</v>
      </c>
      <c r="B32" s="81">
        <f t="shared" si="1"/>
        <v>0</v>
      </c>
      <c r="C32" s="89">
        <f t="shared" si="2"/>
        <v>0</v>
      </c>
      <c r="D32" s="83"/>
      <c r="E32" s="43"/>
      <c r="F32" s="43"/>
      <c r="G32" s="43">
        <f t="shared" si="3"/>
        <v>0</v>
      </c>
      <c r="H32" s="42"/>
      <c r="I32" s="78"/>
    </row>
    <row r="33" spans="1:11">
      <c r="A33" s="42" t="s">
        <v>385</v>
      </c>
      <c r="B33" s="81">
        <f t="shared" si="1"/>
        <v>0</v>
      </c>
      <c r="C33" s="89">
        <f t="shared" si="2"/>
        <v>0</v>
      </c>
      <c r="D33" s="83"/>
      <c r="E33" s="43"/>
      <c r="F33" s="43"/>
      <c r="G33" s="43">
        <f t="shared" si="3"/>
        <v>0</v>
      </c>
      <c r="H33" s="42"/>
      <c r="I33" s="78"/>
    </row>
    <row r="34" spans="1:11">
      <c r="A34" s="42" t="s">
        <v>386</v>
      </c>
      <c r="B34" s="81">
        <f t="shared" si="1"/>
        <v>0</v>
      </c>
      <c r="C34" s="89">
        <f t="shared" si="2"/>
        <v>0</v>
      </c>
      <c r="D34" s="83"/>
      <c r="E34" s="43"/>
      <c r="F34" s="43"/>
      <c r="G34" s="43">
        <f t="shared" si="3"/>
        <v>0</v>
      </c>
      <c r="H34" s="42"/>
      <c r="I34" s="78"/>
    </row>
    <row r="35" spans="1:11">
      <c r="A35" s="42" t="s">
        <v>387</v>
      </c>
      <c r="B35" s="81">
        <f t="shared" si="1"/>
        <v>2</v>
      </c>
      <c r="C35" s="89">
        <f t="shared" si="2"/>
        <v>2</v>
      </c>
      <c r="D35" s="83"/>
      <c r="E35" s="43"/>
      <c r="F35" s="43"/>
      <c r="G35" s="43">
        <f t="shared" si="3"/>
        <v>0</v>
      </c>
      <c r="H35" s="42"/>
      <c r="I35" s="78"/>
      <c r="J35" s="39">
        <v>1</v>
      </c>
      <c r="K35" s="39">
        <v>1</v>
      </c>
    </row>
    <row r="36" spans="1:11">
      <c r="A36" s="42" t="s">
        <v>388</v>
      </c>
      <c r="B36" s="81">
        <f t="shared" si="1"/>
        <v>0</v>
      </c>
      <c r="C36" s="89">
        <f t="shared" si="2"/>
        <v>0</v>
      </c>
      <c r="D36" s="83"/>
      <c r="E36" s="43"/>
      <c r="F36" s="43"/>
      <c r="G36" s="43">
        <f t="shared" si="3"/>
        <v>0</v>
      </c>
      <c r="H36" s="42"/>
      <c r="I36" s="78"/>
    </row>
    <row r="37" spans="1:11">
      <c r="A37" s="45" t="s">
        <v>389</v>
      </c>
      <c r="B37" s="81">
        <f t="shared" si="1"/>
        <v>0</v>
      </c>
      <c r="C37" s="89">
        <f t="shared" si="2"/>
        <v>0</v>
      </c>
      <c r="D37" s="84"/>
      <c r="E37" s="46"/>
      <c r="F37" s="46"/>
      <c r="G37" s="43">
        <f t="shared" si="3"/>
        <v>0</v>
      </c>
      <c r="H37" s="45"/>
      <c r="I37" s="78"/>
    </row>
    <row r="38" spans="1:11">
      <c r="A38" s="42" t="s">
        <v>390</v>
      </c>
      <c r="B38" s="81">
        <f t="shared" si="1"/>
        <v>0</v>
      </c>
      <c r="C38" s="89">
        <f t="shared" si="2"/>
        <v>0</v>
      </c>
      <c r="D38" s="83"/>
      <c r="E38" s="43"/>
      <c r="F38" s="43"/>
      <c r="G38" s="43">
        <f t="shared" si="3"/>
        <v>0</v>
      </c>
      <c r="H38" s="42"/>
      <c r="I38" s="78"/>
    </row>
    <row r="39" spans="1:11">
      <c r="A39" s="42" t="s">
        <v>391</v>
      </c>
      <c r="B39" s="81">
        <f t="shared" si="1"/>
        <v>0</v>
      </c>
      <c r="C39" s="89">
        <f t="shared" si="2"/>
        <v>0</v>
      </c>
      <c r="D39" s="83"/>
      <c r="E39" s="43"/>
      <c r="F39" s="43"/>
      <c r="G39" s="43">
        <f t="shared" si="3"/>
        <v>0</v>
      </c>
      <c r="H39" s="42"/>
      <c r="I39" s="78"/>
    </row>
    <row r="40" spans="1:11">
      <c r="A40" s="45" t="s">
        <v>392</v>
      </c>
      <c r="B40" s="81">
        <f t="shared" si="1"/>
        <v>10</v>
      </c>
      <c r="C40" s="89">
        <f t="shared" si="2"/>
        <v>10</v>
      </c>
      <c r="D40" s="84"/>
      <c r="E40" s="46"/>
      <c r="F40" s="46"/>
      <c r="G40" s="43">
        <f t="shared" si="3"/>
        <v>0</v>
      </c>
      <c r="H40" s="45"/>
      <c r="I40" s="78"/>
      <c r="J40" s="39">
        <v>10</v>
      </c>
    </row>
    <row r="41" spans="1:11">
      <c r="A41" s="45" t="s">
        <v>393</v>
      </c>
      <c r="B41" s="81">
        <f t="shared" si="1"/>
        <v>15</v>
      </c>
      <c r="C41" s="89">
        <f t="shared" si="2"/>
        <v>10</v>
      </c>
      <c r="D41" s="84">
        <v>5</v>
      </c>
      <c r="E41" s="46"/>
      <c r="F41" s="46"/>
      <c r="G41" s="43">
        <f t="shared" si="3"/>
        <v>0</v>
      </c>
      <c r="H41" s="45"/>
      <c r="I41" s="78"/>
      <c r="J41" s="39">
        <v>10</v>
      </c>
    </row>
    <row r="42" spans="1:11">
      <c r="A42" s="47" t="s">
        <v>394</v>
      </c>
      <c r="B42" s="81">
        <f t="shared" si="1"/>
        <v>0</v>
      </c>
      <c r="C42" s="89">
        <f t="shared" si="2"/>
        <v>0</v>
      </c>
      <c r="D42" s="85"/>
      <c r="E42" s="44"/>
      <c r="F42" s="44"/>
      <c r="G42" s="43">
        <f t="shared" si="3"/>
        <v>0</v>
      </c>
      <c r="H42" s="47"/>
      <c r="I42" s="78"/>
    </row>
    <row r="43" spans="1:11">
      <c r="A43" s="47" t="s">
        <v>395</v>
      </c>
      <c r="B43" s="81">
        <f t="shared" si="1"/>
        <v>0</v>
      </c>
      <c r="C43" s="89">
        <f t="shared" si="2"/>
        <v>0</v>
      </c>
      <c r="D43" s="85"/>
      <c r="E43" s="44"/>
      <c r="F43" s="44"/>
      <c r="G43" s="43">
        <f t="shared" si="3"/>
        <v>0</v>
      </c>
      <c r="H43" s="47"/>
      <c r="I43" s="78"/>
    </row>
    <row r="44" spans="1:11">
      <c r="A44" s="47" t="s">
        <v>396</v>
      </c>
      <c r="B44" s="81">
        <f t="shared" si="1"/>
        <v>0</v>
      </c>
      <c r="C44" s="89">
        <f t="shared" si="2"/>
        <v>0</v>
      </c>
      <c r="D44" s="85"/>
      <c r="E44" s="44"/>
      <c r="F44" s="44"/>
      <c r="G44" s="43">
        <f t="shared" si="3"/>
        <v>0</v>
      </c>
      <c r="H44" s="47"/>
      <c r="I44" s="78"/>
    </row>
    <row r="45" spans="1:11">
      <c r="A45" s="47" t="s">
        <v>397</v>
      </c>
      <c r="B45" s="81">
        <f t="shared" si="1"/>
        <v>0</v>
      </c>
      <c r="C45" s="89">
        <f t="shared" si="2"/>
        <v>0</v>
      </c>
      <c r="D45" s="85"/>
      <c r="E45" s="44"/>
      <c r="F45" s="44"/>
      <c r="G45" s="43">
        <f t="shared" si="3"/>
        <v>0</v>
      </c>
      <c r="H45" s="47"/>
      <c r="I45" s="78"/>
    </row>
    <row r="46" spans="1:11">
      <c r="A46" s="42" t="s">
        <v>398</v>
      </c>
      <c r="B46" s="81">
        <f t="shared" si="1"/>
        <v>0</v>
      </c>
      <c r="C46" s="89">
        <f t="shared" si="2"/>
        <v>0</v>
      </c>
      <c r="D46" s="83"/>
      <c r="E46" s="43"/>
      <c r="F46" s="43"/>
      <c r="G46" s="43">
        <f t="shared" si="3"/>
        <v>0</v>
      </c>
      <c r="H46" s="42"/>
      <c r="I46" s="78"/>
    </row>
    <row r="47" spans="1:11">
      <c r="A47" s="42" t="s">
        <v>399</v>
      </c>
      <c r="B47" s="81">
        <f t="shared" si="1"/>
        <v>0</v>
      </c>
      <c r="C47" s="89">
        <f t="shared" si="2"/>
        <v>0</v>
      </c>
      <c r="D47" s="84"/>
      <c r="E47" s="46"/>
      <c r="F47" s="43"/>
      <c r="G47" s="43">
        <f t="shared" si="3"/>
        <v>0</v>
      </c>
      <c r="H47" s="45"/>
      <c r="I47" s="78"/>
    </row>
    <row r="48" spans="1:11">
      <c r="A48" s="42" t="s">
        <v>400</v>
      </c>
      <c r="B48" s="81">
        <f t="shared" si="1"/>
        <v>0</v>
      </c>
      <c r="C48" s="89">
        <f t="shared" si="2"/>
        <v>0</v>
      </c>
      <c r="D48" s="83"/>
      <c r="E48" s="43"/>
      <c r="F48" s="43"/>
      <c r="G48" s="43">
        <f t="shared" si="3"/>
        <v>0</v>
      </c>
      <c r="H48" s="42"/>
      <c r="I48" s="78"/>
    </row>
    <row r="49" spans="1:9">
      <c r="A49" s="42" t="s">
        <v>401</v>
      </c>
      <c r="B49" s="81">
        <f t="shared" si="1"/>
        <v>0</v>
      </c>
      <c r="C49" s="89">
        <f t="shared" si="2"/>
        <v>0</v>
      </c>
      <c r="D49" s="83"/>
      <c r="E49" s="43"/>
      <c r="F49" s="43"/>
      <c r="G49" s="43">
        <f t="shared" si="3"/>
        <v>0</v>
      </c>
      <c r="H49" s="42"/>
      <c r="I49" s="78"/>
    </row>
    <row r="50" spans="1:9">
      <c r="A50" s="42" t="s">
        <v>402</v>
      </c>
      <c r="B50" s="81">
        <f t="shared" si="1"/>
        <v>0</v>
      </c>
      <c r="C50" s="89">
        <f t="shared" si="2"/>
        <v>0</v>
      </c>
      <c r="D50" s="83"/>
      <c r="E50" s="43"/>
      <c r="F50" s="43"/>
      <c r="G50" s="43">
        <f t="shared" si="3"/>
        <v>0</v>
      </c>
      <c r="H50" s="42"/>
      <c r="I50" s="78"/>
    </row>
    <row r="51" spans="1:9">
      <c r="A51" s="42" t="s">
        <v>403</v>
      </c>
      <c r="B51" s="81">
        <f t="shared" si="1"/>
        <v>0</v>
      </c>
      <c r="C51" s="89">
        <f t="shared" si="2"/>
        <v>0</v>
      </c>
      <c r="D51" s="83"/>
      <c r="E51" s="43"/>
      <c r="F51" s="43"/>
      <c r="G51" s="43">
        <f t="shared" si="3"/>
        <v>0</v>
      </c>
      <c r="H51" s="42"/>
      <c r="I51" s="78"/>
    </row>
    <row r="52" spans="1:9">
      <c r="A52" s="42" t="s">
        <v>404</v>
      </c>
      <c r="B52" s="81">
        <f t="shared" si="1"/>
        <v>0</v>
      </c>
      <c r="C52" s="89">
        <f t="shared" si="2"/>
        <v>0</v>
      </c>
      <c r="D52" s="83"/>
      <c r="E52" s="43"/>
      <c r="F52" s="43"/>
      <c r="G52" s="43">
        <f t="shared" si="3"/>
        <v>0</v>
      </c>
      <c r="H52" s="42"/>
      <c r="I52" s="78"/>
    </row>
    <row r="53" spans="1:9">
      <c r="A53" s="42" t="s">
        <v>405</v>
      </c>
      <c r="B53" s="81">
        <f t="shared" si="1"/>
        <v>0</v>
      </c>
      <c r="C53" s="89">
        <f t="shared" si="2"/>
        <v>0</v>
      </c>
      <c r="D53" s="83"/>
      <c r="E53" s="43"/>
      <c r="F53" s="43"/>
      <c r="G53" s="43">
        <f t="shared" si="3"/>
        <v>0</v>
      </c>
      <c r="H53" s="42"/>
      <c r="I53" s="78"/>
    </row>
    <row r="54" spans="1:9">
      <c r="A54" s="42" t="s">
        <v>406</v>
      </c>
      <c r="B54" s="81">
        <f t="shared" si="1"/>
        <v>0</v>
      </c>
      <c r="C54" s="89">
        <f t="shared" si="2"/>
        <v>0</v>
      </c>
      <c r="D54" s="83"/>
      <c r="E54" s="43"/>
      <c r="F54" s="43"/>
      <c r="G54" s="43">
        <f t="shared" si="3"/>
        <v>0</v>
      </c>
      <c r="H54" s="42"/>
      <c r="I54" s="78"/>
    </row>
    <row r="55" spans="1:9">
      <c r="A55" s="42" t="s">
        <v>407</v>
      </c>
      <c r="B55" s="81">
        <f t="shared" si="1"/>
        <v>0</v>
      </c>
      <c r="C55" s="89">
        <f t="shared" si="2"/>
        <v>0</v>
      </c>
      <c r="D55" s="83"/>
      <c r="E55" s="43"/>
      <c r="F55" s="43"/>
      <c r="G55" s="43">
        <f t="shared" si="3"/>
        <v>0</v>
      </c>
      <c r="H55" s="42"/>
      <c r="I55" s="78"/>
    </row>
    <row r="56" spans="1:9">
      <c r="A56" s="42" t="s">
        <v>408</v>
      </c>
      <c r="B56" s="81">
        <f t="shared" si="1"/>
        <v>0</v>
      </c>
      <c r="C56" s="89">
        <f t="shared" si="2"/>
        <v>0</v>
      </c>
      <c r="D56" s="83"/>
      <c r="E56" s="43"/>
      <c r="F56" s="43"/>
      <c r="G56" s="43">
        <f t="shared" si="3"/>
        <v>0</v>
      </c>
      <c r="H56" s="42"/>
      <c r="I56" s="78"/>
    </row>
    <row r="57" spans="1:9">
      <c r="A57" s="42" t="s">
        <v>409</v>
      </c>
      <c r="B57" s="81">
        <f t="shared" si="1"/>
        <v>0</v>
      </c>
      <c r="C57" s="89">
        <f t="shared" si="2"/>
        <v>0</v>
      </c>
      <c r="D57" s="83"/>
      <c r="E57" s="43"/>
      <c r="F57" s="43"/>
      <c r="G57" s="43">
        <f t="shared" si="3"/>
        <v>0</v>
      </c>
      <c r="H57" s="42"/>
      <c r="I57" s="78"/>
    </row>
    <row r="58" spans="1:9">
      <c r="A58" s="47" t="s">
        <v>410</v>
      </c>
      <c r="B58" s="81">
        <f t="shared" si="1"/>
        <v>0</v>
      </c>
      <c r="C58" s="89">
        <f t="shared" si="2"/>
        <v>0</v>
      </c>
      <c r="D58" s="85"/>
      <c r="E58" s="44"/>
      <c r="F58" s="44"/>
      <c r="G58" s="43">
        <f t="shared" si="3"/>
        <v>0</v>
      </c>
      <c r="H58" s="47"/>
      <c r="I58" s="78"/>
    </row>
    <row r="59" spans="1:9">
      <c r="A59" s="47" t="s">
        <v>411</v>
      </c>
      <c r="B59" s="81">
        <f t="shared" si="1"/>
        <v>0</v>
      </c>
      <c r="C59" s="89">
        <f t="shared" si="2"/>
        <v>0</v>
      </c>
      <c r="D59" s="85"/>
      <c r="E59" s="44"/>
      <c r="F59" s="44"/>
      <c r="G59" s="43">
        <f t="shared" si="3"/>
        <v>0</v>
      </c>
      <c r="H59" s="47"/>
      <c r="I59" s="78"/>
    </row>
    <row r="60" spans="1:9">
      <c r="A60" s="42" t="s">
        <v>412</v>
      </c>
      <c r="B60" s="81">
        <f t="shared" si="1"/>
        <v>0</v>
      </c>
      <c r="C60" s="89">
        <f t="shared" si="2"/>
        <v>0</v>
      </c>
      <c r="D60" s="83"/>
      <c r="E60" s="43"/>
      <c r="F60" s="43"/>
      <c r="G60" s="43">
        <f t="shared" si="3"/>
        <v>0</v>
      </c>
      <c r="H60" s="42"/>
      <c r="I60" s="78"/>
    </row>
    <row r="61" spans="1:9">
      <c r="A61" s="47" t="s">
        <v>413</v>
      </c>
      <c r="B61" s="81">
        <f t="shared" si="1"/>
        <v>0</v>
      </c>
      <c r="C61" s="89">
        <f t="shared" si="2"/>
        <v>0</v>
      </c>
      <c r="D61" s="85"/>
      <c r="E61" s="44"/>
      <c r="F61" s="44"/>
      <c r="G61" s="43">
        <f t="shared" si="3"/>
        <v>0</v>
      </c>
      <c r="H61" s="47"/>
      <c r="I61" s="78"/>
    </row>
    <row r="62" spans="1:9">
      <c r="A62" s="47" t="s">
        <v>414</v>
      </c>
      <c r="B62" s="81">
        <f t="shared" si="1"/>
        <v>0</v>
      </c>
      <c r="C62" s="89">
        <f t="shared" si="2"/>
        <v>0</v>
      </c>
      <c r="D62" s="85"/>
      <c r="E62" s="44"/>
      <c r="F62" s="44"/>
      <c r="G62" s="43">
        <f t="shared" si="3"/>
        <v>0</v>
      </c>
      <c r="H62" s="47"/>
      <c r="I62" s="78"/>
    </row>
    <row r="63" spans="1:9">
      <c r="A63" s="47" t="s">
        <v>415</v>
      </c>
      <c r="B63" s="81">
        <f t="shared" si="1"/>
        <v>0</v>
      </c>
      <c r="C63" s="89">
        <f t="shared" si="2"/>
        <v>0</v>
      </c>
      <c r="D63" s="85"/>
      <c r="E63" s="44"/>
      <c r="F63" s="44"/>
      <c r="G63" s="43">
        <f t="shared" si="3"/>
        <v>0</v>
      </c>
      <c r="H63" s="47"/>
      <c r="I63" s="78"/>
    </row>
    <row r="64" spans="1:9">
      <c r="A64" s="47" t="s">
        <v>416</v>
      </c>
      <c r="B64" s="81">
        <f t="shared" si="1"/>
        <v>0</v>
      </c>
      <c r="C64" s="89">
        <f t="shared" si="2"/>
        <v>0</v>
      </c>
      <c r="D64" s="85"/>
      <c r="E64" s="44"/>
      <c r="F64" s="44"/>
      <c r="G64" s="43">
        <f t="shared" si="3"/>
        <v>0</v>
      </c>
      <c r="H64" s="47"/>
      <c r="I64" s="78"/>
    </row>
    <row r="65" spans="1:9">
      <c r="A65" s="47" t="s">
        <v>417</v>
      </c>
      <c r="B65" s="81">
        <f t="shared" si="1"/>
        <v>0</v>
      </c>
      <c r="C65" s="89">
        <f t="shared" si="2"/>
        <v>0</v>
      </c>
      <c r="D65" s="85"/>
      <c r="E65" s="44"/>
      <c r="F65" s="44"/>
      <c r="G65" s="43">
        <f t="shared" si="3"/>
        <v>0</v>
      </c>
      <c r="H65" s="47"/>
      <c r="I65" s="78"/>
    </row>
    <row r="66" spans="1:9">
      <c r="A66" s="47" t="s">
        <v>418</v>
      </c>
      <c r="B66" s="81">
        <f t="shared" si="1"/>
        <v>0</v>
      </c>
      <c r="C66" s="89">
        <f t="shared" si="2"/>
        <v>0</v>
      </c>
      <c r="D66" s="85"/>
      <c r="E66" s="44"/>
      <c r="F66" s="44"/>
      <c r="G66" s="43">
        <f t="shared" si="3"/>
        <v>0</v>
      </c>
      <c r="H66" s="47"/>
      <c r="I66" s="78"/>
    </row>
    <row r="67" spans="1:9">
      <c r="A67" s="47" t="s">
        <v>419</v>
      </c>
      <c r="B67" s="81">
        <f t="shared" ref="B67:B69" si="4">+C67+D67</f>
        <v>0</v>
      </c>
      <c r="C67" s="89">
        <f t="shared" ref="C67:C69" si="5">SUM(I67:N67)</f>
        <v>0</v>
      </c>
      <c r="D67" s="85"/>
      <c r="E67" s="44"/>
      <c r="F67" s="44"/>
      <c r="G67" s="43">
        <f>SUM(E67:F67)</f>
        <v>0</v>
      </c>
      <c r="H67" s="47"/>
      <c r="I67" s="78"/>
    </row>
    <row r="68" spans="1:9">
      <c r="A68" s="47" t="s">
        <v>420</v>
      </c>
      <c r="B68" s="81">
        <f t="shared" si="4"/>
        <v>0</v>
      </c>
      <c r="C68" s="89">
        <f t="shared" si="5"/>
        <v>0</v>
      </c>
      <c r="D68" s="85"/>
      <c r="E68" s="44"/>
      <c r="F68" s="44"/>
      <c r="G68" s="43">
        <f t="shared" si="3"/>
        <v>0</v>
      </c>
      <c r="H68" s="47"/>
      <c r="I68" s="78"/>
    </row>
    <row r="69" spans="1:9" ht="14" thickBot="1">
      <c r="A69" s="48" t="s">
        <v>421</v>
      </c>
      <c r="B69" s="81">
        <f t="shared" si="4"/>
        <v>0</v>
      </c>
      <c r="C69" s="90">
        <f t="shared" si="5"/>
        <v>0</v>
      </c>
      <c r="D69" s="86"/>
      <c r="E69" s="49"/>
      <c r="F69" s="49"/>
      <c r="G69" s="49">
        <f t="shared" si="3"/>
        <v>0</v>
      </c>
      <c r="H69" s="48"/>
      <c r="I69" s="78"/>
    </row>
    <row r="71" spans="1:9" ht="15">
      <c r="B71" s="50"/>
      <c r="H71" s="50"/>
      <c r="I71" s="50"/>
    </row>
    <row r="175" spans="1:1" ht="14" thickBot="1">
      <c r="A175" s="51"/>
    </row>
    <row r="176" spans="1:1">
      <c r="A176" s="52"/>
    </row>
    <row r="209" spans="1:1">
      <c r="A209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Indicadores Adicionales</vt:lpstr>
      <vt:lpstr>Dashboard_KPIs</vt:lpstr>
      <vt:lpstr>CAP0_Identidad_Censo</vt:lpstr>
      <vt:lpstr>CAP1_Financiero_CAPEX</vt:lpstr>
      <vt:lpstr>CAP2_Nomina</vt:lpstr>
      <vt:lpstr>CAP3_Infraestructura_Uso</vt:lpstr>
      <vt:lpstr>CAP4_Tarifas_Cartera</vt:lpstr>
      <vt:lpstr>Información salarios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Luisa Bernal</cp:lastModifiedBy>
  <dcterms:created xsi:type="dcterms:W3CDTF">2026-02-20T23:29:35Z</dcterms:created>
  <dcterms:modified xsi:type="dcterms:W3CDTF">2026-03-04T19:02:28Z</dcterms:modified>
</cp:coreProperties>
</file>